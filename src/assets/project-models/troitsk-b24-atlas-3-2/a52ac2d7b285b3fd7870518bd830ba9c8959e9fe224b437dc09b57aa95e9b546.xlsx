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c10f71117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Паспорт" sheetId="1" r:id="R64e4170201834c20"/>
    <x:sheet xmlns:r="http://schemas.openxmlformats.org/officeDocument/2006/relationships" name="02_Экземпляры" sheetId="2" r:id="Rc49a93b2d1d242f9"/>
    <x:sheet xmlns:r="http://schemas.openxmlformats.org/officeDocument/2006/relationships" name="03_Спец_РД" sheetId="3" r:id="R3c9687a5e11d4a99"/>
    <x:sheet xmlns:r="http://schemas.openxmlformats.org/officeDocument/2006/relationships" name="04_Ресурсы" sheetId="4" r:id="R0d47412fefa64624"/>
    <x:sheet xmlns:r="http://schemas.openxmlformats.org/officeDocument/2006/relationships" name="05_Размеры" sheetId="5" r:id="Rae81861fb9134760"/>
    <x:sheet xmlns:r="http://schemas.openxmlformats.org/officeDocument/2006/relationships" name="06_Контроль3D" sheetId="6" r:id="Rac7f71750a5c4e7a"/>
    <x:sheet xmlns:r="http://schemas.openxmlformats.org/officeDocument/2006/relationships" name="20_Вопросы_РД" sheetId="7" r:id="Rd68e1158c969449d"/>
    <x:sheet xmlns:r="http://schemas.openxmlformats.org/officeDocument/2006/relationships" name="СП_00_подземная" sheetId="8" r:id="R5ad8f60f877b4709"/>
    <x:sheet xmlns:r="http://schemas.openxmlformats.org/officeDocument/2006/relationships" name="ВОР_00_подземная" sheetId="9" r:id="R20ffcd5e9a664393"/>
    <x:sheet xmlns:r="http://schemas.openxmlformats.org/officeDocument/2006/relationships" name="СП_01_этаж" sheetId="10" r:id="R98178d2f4fff4828"/>
    <x:sheet xmlns:r="http://schemas.openxmlformats.org/officeDocument/2006/relationships" name="ВОР_01_этаж" sheetId="11" r:id="R6fbb419e2112477c"/>
    <x:sheet xmlns:r="http://schemas.openxmlformats.org/officeDocument/2006/relationships" name="СП_02_этаж" sheetId="12" r:id="R4eca897d83324d53"/>
    <x:sheet xmlns:r="http://schemas.openxmlformats.org/officeDocument/2006/relationships" name="ВОР_02_этаж" sheetId="13" r:id="R7c5f0b70aa4245be"/>
    <x:sheet xmlns:r="http://schemas.openxmlformats.org/officeDocument/2006/relationships" name="СП_03_этаж" sheetId="14" r:id="Rd72c19610f4f4233"/>
    <x:sheet xmlns:r="http://schemas.openxmlformats.org/officeDocument/2006/relationships" name="ВОР_03_этаж" sheetId="15" r:id="R1aa8cb028586476f"/>
    <x:sheet xmlns:r="http://schemas.openxmlformats.org/officeDocument/2006/relationships" name="СП_04_кровля" sheetId="16" r:id="R4334c8bec4f74ff4"/>
    <x:sheet xmlns:r="http://schemas.openxmlformats.org/officeDocument/2006/relationships" name="ВОР_04_кровля" sheetId="17" r:id="Rbe76e555df5e4b15"/>
    <x:sheet xmlns:r="http://schemas.openxmlformats.org/officeDocument/2006/relationships" name="СП_05_общие" sheetId="18" r:id="R48051e18e35a49e3"/>
    <x:sheet xmlns:r="http://schemas.openxmlformats.org/officeDocument/2006/relationships" name="ВОР_05_общие" sheetId="19" r:id="Rf5ec6a646ea14d9c"/>
    <x:sheet xmlns:r="http://schemas.openxmlformats.org/officeDocument/2006/relationships" name="01_Свод_этажи" sheetId="20" r:id="Rb2da732ef7c44e13"/>
    <x:sheet xmlns:r="http://schemas.openxmlformats.org/officeDocument/2006/relationships" name="21_Проверки" sheetId="21" r:id="R921c57dae77148a2"/>
    <x:sheet xmlns:r="http://schemas.openxmlformats.org/officeDocument/2006/relationships" name="22_Источники" sheetId="22" r:id="R1217c141f2d7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;-0.000;–"/>
    <x:numFmt numFmtId="201" formatCode="0.000"/>
    <x:numFmt numFmtId="202" formatCode="0.0000;-0.0000;–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05F9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A48"/>
      </x:patternFill>
    </x:fill>
    <x:fill>
      <x:patternFill patternType="solid">
        <x:fgColor rgb="FFEAF1F3"/>
      </x:patternFill>
    </x:fill>
    <x:fill>
      <x:patternFill patternType="solid">
        <x:fgColor rgb="FF256B72"/>
      </x:patternFill>
    </x:fill>
    <x:fill>
      <x:patternFill patternType="solid">
        <x:fgColor rgb="FFFFF1CA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200" fontId="0" fillId="2" borderId="0" xfId="0" applyNumberFormat="1" applyFont="1" applyFill="1" applyBorder="1" applyAlignment="1">
      <x:alignment vertical="center" wrapText="1"/>
    </x:xf>
    <x:xf numFmtId="203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200" fontId="0" fillId="2" borderId="1" xfId="0" applyNumberFormat="1" applyFont="1" applyFill="1" applyBorder="1" applyAlignment="1">
      <x:alignment vertical="center" wrapText="1"/>
    </x:xf>
    <x:xf numFmtId="203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FE1D5"/>
        </x:patternFill>
      </x:fill>
    </x:dxf>
    <x:dxf>
      <x:fill>
        <x:patternFill patternType="solid">
          <x:bgColor rgb="FFFFE1D5"/>
        </x:patternFill>
      </x:fill>
    </x:dxf>
    <x:dxf>
      <x:fill>
        <x:patternFill patternType="solid">
          <x:bgColor rgb="FFFFE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21903205f4742" /><Relationship Type="http://schemas.openxmlformats.org/officeDocument/2006/relationships/theme" Target="/xl/theme/theme1.xml" Id="R520977ffe6be4cea" /><Relationship Type="http://schemas.openxmlformats.org/officeDocument/2006/relationships/sharedStrings" Target="/xl/sharedStrings.xml" Id="Re2df476aa27347d2" /><Relationship Type="http://schemas.openxmlformats.org/officeDocument/2006/relationships/worksheet" Target="/xl/worksheets/sheet1.xml" Id="R64e4170201834c20" /><Relationship Type="http://schemas.openxmlformats.org/officeDocument/2006/relationships/worksheet" Target="/xl/worksheets/sheet2.xml" Id="Rc49a93b2d1d242f9" /><Relationship Type="http://schemas.openxmlformats.org/officeDocument/2006/relationships/worksheet" Target="/xl/worksheets/sheet3.xml" Id="R3c9687a5e11d4a99" /><Relationship Type="http://schemas.openxmlformats.org/officeDocument/2006/relationships/worksheet" Target="/xl/worksheets/sheet4.xml" Id="R0d47412fefa64624" /><Relationship Type="http://schemas.openxmlformats.org/officeDocument/2006/relationships/worksheet" Target="/xl/worksheets/sheet5.xml" Id="Rae81861fb9134760" /><Relationship Type="http://schemas.openxmlformats.org/officeDocument/2006/relationships/worksheet" Target="/xl/worksheets/sheet6.xml" Id="Rac7f71750a5c4e7a" /><Relationship Type="http://schemas.openxmlformats.org/officeDocument/2006/relationships/worksheet" Target="/xl/worksheets/sheet7.xml" Id="Rd68e1158c969449d" /><Relationship Type="http://schemas.openxmlformats.org/officeDocument/2006/relationships/worksheet" Target="/xl/worksheets/sheet8.xml" Id="R5ad8f60f877b4709" /><Relationship Type="http://schemas.openxmlformats.org/officeDocument/2006/relationships/worksheet" Target="/xl/worksheets/sheet9.xml" Id="R20ffcd5e9a664393" /><Relationship Type="http://schemas.openxmlformats.org/officeDocument/2006/relationships/worksheet" Target="/xl/worksheets/sheet10.xml" Id="R98178d2f4fff4828" /><Relationship Type="http://schemas.openxmlformats.org/officeDocument/2006/relationships/worksheet" Target="/xl/worksheets/sheet11.xml" Id="R6fbb419e2112477c" /><Relationship Type="http://schemas.openxmlformats.org/officeDocument/2006/relationships/worksheet" Target="/xl/worksheets/sheet12.xml" Id="R4eca897d83324d53" /><Relationship Type="http://schemas.openxmlformats.org/officeDocument/2006/relationships/worksheet" Target="/xl/worksheets/sheet13.xml" Id="R7c5f0b70aa4245be" /><Relationship Type="http://schemas.openxmlformats.org/officeDocument/2006/relationships/worksheet" Target="/xl/worksheets/sheet14.xml" Id="Rd72c19610f4f4233" /><Relationship Type="http://schemas.openxmlformats.org/officeDocument/2006/relationships/worksheet" Target="/xl/worksheets/sheet15.xml" Id="R1aa8cb028586476f" /><Relationship Type="http://schemas.openxmlformats.org/officeDocument/2006/relationships/worksheet" Target="/xl/worksheets/sheet16.xml" Id="R4334c8bec4f74ff4" /><Relationship Type="http://schemas.openxmlformats.org/officeDocument/2006/relationships/worksheet" Target="/xl/worksheets/sheet17.xml" Id="Rbe76e555df5e4b15" /><Relationship Type="http://schemas.openxmlformats.org/officeDocument/2006/relationships/worksheet" Target="/xl/worksheets/sheet18.xml" Id="R48051e18e35a49e3" /><Relationship Type="http://schemas.openxmlformats.org/officeDocument/2006/relationships/worksheet" Target="/xl/worksheets/sheet19.xml" Id="Rf5ec6a646ea14d9c" /><Relationship Type="http://schemas.openxmlformats.org/officeDocument/2006/relationships/worksheet" Target="/xl/worksheets/sheet20.xml" Id="Rb2da732ef7c44e13" /><Relationship Type="http://schemas.openxmlformats.org/officeDocument/2006/relationships/worksheet" Target="/xl/worksheets/sheet21.xml" Id="R921c57dae77148a2" /><Relationship Type="http://schemas.openxmlformats.org/officeDocument/2006/relationships/worksheet" Target="/xl/worksheets/sheet22.xml" Id="R1217c141f2d74c96" /></Relationships>
</file>

<file path=xl/tables/table1.xml><?xml version="1.0" encoding="utf-8"?>
<x:table xmlns:x="http://schemas.openxmlformats.org/spreadsheetml/2006/main" id="1" name="T01" displayName="T01" ref="A5:I42" headerRowCount="1" totalsRowCount="0" totalsRowShown="0">
  <x:tableColumns count="9">
    <x:tableColumn id="1" name="ID / связь с моделью"/>
    <x:tableColumn id="2" name="Код"/>
    <x:tableColumn id="3" name="Участок"/>
    <x:tableColumn id="4" name="Марка"/>
    <x:tableColumn id="5" name="Отметка / диапазон"/>
    <x:tableColumn id="6" name="Кол., шт"/>
    <x:tableColumn id="7" name="Лист"/>
    <x:tableColumn id="8" name="PDF"/>
    <x:tableColumn id="9" name="Основание разбив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" displayName="T02" ref="A5:O149" headerRowCount="1" totalsRowCount="0" totalsRowShown="0">
  <x:tableColumns count="15">
    <x:tableColumn id="1" name="ID строки"/>
    <x:tableColumn id="2" name="Лист"/>
    <x:tableColumn id="3" name="PDF"/>
    <x:tableColumn id="4" name="Конструкция"/>
    <x:tableColumn id="5" name="Поз."/>
    <x:tableColumn id="6" name="Наименование по РД"/>
    <x:tableColumn id="7" name="Ед."/>
    <x:tableColumn id="8" name="Кол. на ед."/>
    <x:tableColumn id="9" name="Масса ед., кг"/>
    <x:tableColumn id="10" name="Итог РД, кг"/>
    <x:tableColumn id="11" name="Расчёт, кг"/>
    <x:tableColumn id="12" name="Δ к РД, кг"/>
    <x:tableColumn id="13" name="Группа"/>
    <x:tableColumn id="14" name="Длина, мм"/>
    <x:tableColumn id="15" name="Примечание / коллизи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" displayName="T03" ref="A5:R164" headerRowCount="1" totalsRowCount="0" totalsRowShown="0">
  <x:tableColumns count="18">
    <x:tableColumn id="1" name="ID ресурса"/>
    <x:tableColumn id="2" name="Код этажа"/>
    <x:tableColumn id="3" name="Конструкция"/>
    <x:tableColumn id="4" name="Поз."/>
    <x:tableColumn id="5" name="Материал / изделие"/>
    <x:tableColumn id="6" name="Ед."/>
    <x:tableColumn id="7" name="На ед."/>
    <x:tableColumn id="8" name="Изделий"/>
    <x:tableColumn id="9" name="Каркасов"/>
    <x:tableColumn id="10" name="Итого кол."/>
    <x:tableColumn id="11" name="Масса ед., кг"/>
    <x:tableColumn id="12" name="Итого масса, кг"/>
    <x:tableColumn id="13" name="Группа"/>
    <x:tableColumn id="14" name="Источник"/>
    <x:tableColumn id="15" name="ID исходной строки"/>
    <x:tableColumn id="16" name="Основание / ограничение"/>
    <x:tableColumn id="17" name="Длина ед., мм"/>
    <x:tableColumn id="18" name="Метраж, 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" displayName="T04" ref="A5:E50" headerRowCount="1" totalsRowCount="0" totalsRowShown="0">
  <x:tableColumns count="5">
    <x:tableColumn id="1" name="Параметр"/>
    <x:tableColumn id="2" name="Значение"/>
    <x:tableColumn id="3" name="Ед."/>
    <x:tableColumn id="4" name="Лист"/>
    <x:tableColumn id="5" name="Содержание / стату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" displayName="T05" ref="A5:I24" headerRowCount="1" totalsRowCount="0" totalsRowShown="0">
  <x:tableColumns count="9">
    <x:tableColumn id="1" name="ID"/>
    <x:tableColumn id="2" name="Код"/>
    <x:tableColumn id="3" name="Проверяемый элемент"/>
    <x:tableColumn id="4" name="Ед."/>
    <x:tableColumn id="5" name="Контроль 3D / расчёт"/>
    <x:tableColumn id="6" name="Значение РД"/>
    <x:tableColumn id="7" name="Δ"/>
    <x:tableColumn id="8" name="Лист"/>
    <x:tableColumn id="9" name="Примеча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" displayName="T06" ref="A5:F14" headerRowCount="1" totalsRowCount="0" totalsRowShown="0">
  <x:tableColumns count="6">
    <x:tableColumn id="1" name="Код"/>
    <x:tableColumn id="2" name="Конструкция"/>
    <x:tableColumn id="3" name="Листы"/>
    <x:tableColumn id="4" name="Проблема"/>
    <x:tableColumn id="5" name="Что обнаружено / что требуется"/>
    <x:tableColumn id="6" name="Стату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" displayName="T07" ref="A5:J48" headerRowCount="1" totalsRowCount="0" totalsRowShown="0">
  <x:tableColumns count="10">
    <x:tableColumn id="1" name="№"/>
    <x:tableColumn id="2" name="Конструкция / позиция"/>
    <x:tableColumn id="3" name="Материал / изделие"/>
    <x:tableColumn id="4" name="Ед."/>
    <x:tableColumn id="5" name="Количество"/>
    <x:tableColumn id="6" name="Масса ед., кг"/>
    <x:tableColumn id="7" name="Масса всего, кг"/>
    <x:tableColumn id="8" name="Источник"/>
    <x:tableColumn id="9" name="Основание / статус"/>
    <x:tableColumn id="10" name="Связь / 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" displayName="T08" ref="A5:G18" headerRowCount="1" totalsRowCount="0" totalsRowShown="0">
  <x:tableColumns count="7">
    <x:tableColumn id="1" name="№"/>
    <x:tableColumn id="2" name="Наименование работ"/>
    <x:tableColumn id="3" name="Ед."/>
    <x:tableColumn id="4" name="Количество"/>
    <x:tableColumn id="5" name="Источник"/>
    <x:tableColumn id="6" name="Статус объёма"/>
    <x:tableColumn id="7" name="Расчёт / ограничен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" displayName="T09" ref="A5:J44" headerRowCount="1" totalsRowCount="0" totalsRowShown="0">
  <x:tableColumns count="10">
    <x:tableColumn id="1" name="№"/>
    <x:tableColumn id="2" name="Конструкция / позиция"/>
    <x:tableColumn id="3" name="Материал / изделие"/>
    <x:tableColumn id="4" name="Ед."/>
    <x:tableColumn id="5" name="Количество"/>
    <x:tableColumn id="6" name="Масса ед., кг"/>
    <x:tableColumn id="7" name="Масса всего, кг"/>
    <x:tableColumn id="8" name="Источник"/>
    <x:tableColumn id="9" name="Основание / статус"/>
    <x:tableColumn id="10" name="Связь / 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5:G22" headerRowCount="1" totalsRowCount="0" totalsRowShown="0">
  <x:tableColumns count="7">
    <x:tableColumn id="1" name="№"/>
    <x:tableColumn id="2" name="Наименование работ"/>
    <x:tableColumn id="3" name="Ед."/>
    <x:tableColumn id="4" name="Количество"/>
    <x:tableColumn id="5" name="Источник"/>
    <x:tableColumn id="6" name="Статус объёма"/>
    <x:tableColumn id="7" name="Расчёт / ограничение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5:J38" headerRowCount="1" totalsRowCount="0" totalsRowShown="0">
  <x:tableColumns count="10">
    <x:tableColumn id="1" name="№"/>
    <x:tableColumn id="2" name="Конструкция / позиция"/>
    <x:tableColumn id="3" name="Материал / изделие"/>
    <x:tableColumn id="4" name="Ед."/>
    <x:tableColumn id="5" name="Количество"/>
    <x:tableColumn id="6" name="Масса ед., кг"/>
    <x:tableColumn id="7" name="Масса всего, кг"/>
    <x:tableColumn id="8" name="Источник"/>
    <x:tableColumn id="9" name="Основание / статус"/>
    <x:tableColumn id="10" name="Связь / 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5:G21" headerRowCount="1" totalsRowCount="0" totalsRowShown="0">
  <x:tableColumns count="7">
    <x:tableColumn id="1" name="№"/>
    <x:tableColumn id="2" name="Наименование работ"/>
    <x:tableColumn id="3" name="Ед."/>
    <x:tableColumn id="4" name="Количество"/>
    <x:tableColumn id="5" name="Источник"/>
    <x:tableColumn id="6" name="Статус объёма"/>
    <x:tableColumn id="7" name="Расчёт / ограничение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5:J40" headerRowCount="1" totalsRowCount="0" totalsRowShown="0">
  <x:tableColumns count="10">
    <x:tableColumn id="1" name="№"/>
    <x:tableColumn id="2" name="Конструкция / позиция"/>
    <x:tableColumn id="3" name="Материал / изделие"/>
    <x:tableColumn id="4" name="Ед."/>
    <x:tableColumn id="5" name="Количество"/>
    <x:tableColumn id="6" name="Масса ед., кг"/>
    <x:tableColumn id="7" name="Масса всего, кг"/>
    <x:tableColumn id="8" name="Источник"/>
    <x:tableColumn id="9" name="Основание / статус"/>
    <x:tableColumn id="10" name="Связь / 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5:G20" headerRowCount="1" totalsRowCount="0" totalsRowShown="0">
  <x:tableColumns count="7">
    <x:tableColumn id="1" name="№"/>
    <x:tableColumn id="2" name="Наименование работ"/>
    <x:tableColumn id="3" name="Ед."/>
    <x:tableColumn id="4" name="Количество"/>
    <x:tableColumn id="5" name="Источник"/>
    <x:tableColumn id="6" name="Статус объёма"/>
    <x:tableColumn id="7" name="Расчёт / ограничение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5:J13" headerRowCount="1" totalsRowCount="0" totalsRowShown="0">
  <x:tableColumns count="10">
    <x:tableColumn id="1" name="№"/>
    <x:tableColumn id="2" name="Конструкция / позиция"/>
    <x:tableColumn id="3" name="Материал / изделие"/>
    <x:tableColumn id="4" name="Ед."/>
    <x:tableColumn id="5" name="Количество"/>
    <x:tableColumn id="6" name="Масса ед., кг"/>
    <x:tableColumn id="7" name="Масса всего, кг"/>
    <x:tableColumn id="8" name="Источник"/>
    <x:tableColumn id="9" name="Основание / статус"/>
    <x:tableColumn id="10" name="Связь / I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5:G12" headerRowCount="1" totalsRowCount="0" totalsRowShown="0">
  <x:tableColumns count="7">
    <x:tableColumn id="1" name="№"/>
    <x:tableColumn id="2" name="Наименование работ"/>
    <x:tableColumn id="3" name="Ед."/>
    <x:tableColumn id="4" name="Количество"/>
    <x:tableColumn id="5" name="Источник"/>
    <x:tableColumn id="6" name="Статус объёма"/>
    <x:tableColumn id="7" name="Расчёт / ограничение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" displayName="T17" ref="A5:J11" headerRowCount="1" totalsRowCount="0" totalsRowShown="0">
  <x:tableColumns count="10">
    <x:tableColumn id="1" name="№"/>
    <x:tableColumn id="2" name="Конструкция / позиция"/>
    <x:tableColumn id="3" name="Материал / изделие"/>
    <x:tableColumn id="4" name="Ед."/>
    <x:tableColumn id="5" name="Количество"/>
    <x:tableColumn id="6" name="Масса ед., кг"/>
    <x:tableColumn id="7" name="Масса всего, кг"/>
    <x:tableColumn id="8" name="Источник"/>
    <x:tableColumn id="9" name="Основание / статус"/>
    <x:tableColumn id="10" name="Связь / I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" displayName="T18" ref="A5:G9" headerRowCount="1" totalsRowCount="0" totalsRowShown="0">
  <x:tableColumns count="7">
    <x:tableColumn id="1" name="№"/>
    <x:tableColumn id="2" name="Наименование работ"/>
    <x:tableColumn id="3" name="Ед."/>
    <x:tableColumn id="4" name="Количество"/>
    <x:tableColumn id="5" name="Источник"/>
    <x:tableColumn id="6" name="Статус объёма"/>
    <x:tableColumn id="7" name="Расчёт / ограничение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" displayName="T19" ref="A5:M12" headerRowCount="1" totalsRowCount="0" totalsRowShown="0">
  <x:tableColumns count="13">
    <x:tableColumn id="1" name="Код"/>
    <x:tableColumn id="2" name="Этаж / участок"/>
    <x:tableColumn id="3" name="Бетон В25, м³"/>
    <x:tableColumn id="4" name="Подготовка В7,5, м³"/>
    <x:tableColumn id="5" name="Арматура, кг"/>
    <x:tableColumn id="6" name="Металлопрокат, кг"/>
    <x:tableColumn id="7" name="Профлист, м²"/>
    <x:tableColumn id="8" name="Ступени, шт"/>
    <x:tableColumn id="9" name="Балки, шт"/>
    <x:tableColumn id="10" name="Косоуры, шт"/>
    <x:tableColumn id="11" name="Площадки, шт"/>
    <x:tableColumn id="12" name="Кладка предв., м³"/>
    <x:tableColumn id="13" name="Огнезащита доп., м²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20" displayName="T20" ref="A5:G13" headerRowCount="1" totalsRowCount="0" totalsRowShown="0">
  <x:tableColumns count="7">
    <x:tableColumn id="1" name="Проверка"/>
    <x:tableColumn id="2" name="Расчёт"/>
    <x:tableColumn id="3" name="По РД"/>
    <x:tableColumn id="4" name="Δ"/>
    <x:tableColumn id="5" name="Ед."/>
    <x:tableColumn id="6" name="Листы"/>
    <x:tableColumn id="7" name="Пояснение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21" displayName="T21" ref="A5:F29" headerRowCount="1" totalsRowCount="0" totalsRowShown="0">
  <x:tableColumns count="6">
    <x:tableColumn id="1" name="Лист по штампу"/>
    <x:tableColumn id="2" name="PDF исходный"/>
    <x:tableColumn id="3" name="Наименование"/>
    <x:tableColumn id="4" name="Файл-основание"/>
    <x:tableColumn id="5" name="Выписка в комплекте"/>
    <x:tableColumn id="6" name="Использов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0bf952bdeb4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c11922323c4b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d4060e694645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58e8163dba4d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ba3032c9af42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ec2bfe46ae48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f5b4aef6fc43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7e39dbf80146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d757c83c794f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c8beae64a9347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d0cf991ecd64c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cc25fb223c6463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e2c23dd3f0d4a8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01662403d854b4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8338c5b8da34ac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ffecd2c13524a0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dade6fe1e264d0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aa17f4567ac48e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d9d1b327e58483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3e457fe2ed5d48f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97a8a6cca94b434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3" max="3" width="30" hidden="0" customWidth="1"/>
  </x:cols>
  <x:sheetData>
    <x:row r="1" ht="32" customHeight="1">
      <x:c r="A1" s="4" t="str">
        <x:v>ТРОИЦК / ЗДАНИЕ 24 — ЛЕСТНИЦА Л-1 • R03</x:v>
      </x:c>
      <x:c r="B1" s="4"/>
      <x:c r="C1" s="4"/>
    </x:row>
    <x:row r="2" ht="23" customHeight="1">
      <x:c r="A2" s="10" t="str">
        <x:v>Спецификация и ведомости объёмов работ по этажам. 07.09.2026. Основа: АС.2, листы 47–69 по штампу (PDF 57–79).</x:v>
      </x:c>
      <x:c r="B2" s="10"/>
      <x:c r="C2" s="10"/>
    </x:row>
    <x:row r="3" ht="23" customHeight="1">
      <x:c r="A3" s="10"/>
      <x:c r="B3" s="10"/>
      <x:c r="C3" s="10"/>
    </x:row>
    <x:row r="5" ht="38" customHeight="1">
      <x:c r="A5" s="17" t="str">
        <x:v>Раздел</x:v>
      </x:c>
      <x:c r="B5" s="17" t="str">
        <x:v>Содержание</x:v>
      </x:c>
      <x:c r="C5" s="17" t="str">
        <x:v>Статус</x:v>
      </x:c>
    </x:row>
    <x:row r="6" ht="65" customHeight="1">
      <x:c r="A6" s="23" t="str">
        <x:v>Основа</x:v>
      </x:c>
      <x:c r="B6" s="23" t="str">
        <x:v>01-2024-ИЯИ-АС.2 изм от 03.07.26.pdf; листы 47–69 по штампу; PDF 57–79.</x:v>
      </x:c>
      <x:c r="C6" s="23" t="str">
        <x:v>РД пользователя</x:v>
      </x:c>
    </x:row>
    <x:row r="7" ht="65" customHeight="1">
      <x:c r="A7" s="23" t="str">
        <x:v>Базовая модель</x:v>
      </x:c>
      <x:c r="B7" s="23" t="str">
        <x:v>R02 сохранена. R03 добавляет Л-1, локально вырезает три перекрытия и заменяет четыре укрупнённых объекта надстройки.</x:v>
      </x:c>
      <x:c r="C7" s="23" t="str">
        <x:v>Координационная R03</x:v>
      </x:c>
    </x:row>
    <x:row r="8" ht="65" customHeight="1">
      <x:c r="A8" s="23" t="str">
        <x:v>Сначала открыть</x:v>
      </x:c>
      <x:c r="B8" s="23" t="str">
        <x:v>01_Свод_этажи — свод материалов и счётных элементов. СП_* — материалы; ВОР_* — работы по соответствующему участку.</x:v>
      </x:c>
      <x:c r="C8" s="23" t="str">
        <x:v>6 участков</x:v>
      </x:c>
    </x:row>
    <x:row r="9" ht="65" customHeight="1">
      <x:c r="A9" s="23" t="str">
        <x:v>Правило этажей</x:v>
      </x:c>
      <x:c r="B9" s="23" t="str">
        <x:v>1 этаж: 0,000→3,600; 2 этаж: 3,600→7,200; 3 этаж: 7,200→11,400. Верхняя площадка/МУ включены в переход с нижнего этажа.</x:v>
      </x:c>
      <x:c r="C9" s="23" t="str">
        <x:v>Без повтора на границе</x:v>
      </x:c>
    </x:row>
    <x:row r="10" ht="65" customHeight="1">
      <x:c r="A10" s="23" t="str">
        <x:v>Подземная часть</x:v>
      </x:c>
      <x:c r="B10" s="23" t="str">
        <x:v>Фп-1, подготовка, С-1-1…С-1-4 и выпуски. Выпуски учтены только в Фп-1.</x:v>
      </x:c>
      <x:c r="C10" s="23" t="str">
        <x:v>Отдельная вкладка</x:v>
      </x:c>
    </x:row>
    <x:row r="11" ht="65" customHeight="1">
      <x:c r="A11" s="23" t="str">
        <x:v>Надстройка</x:v>
      </x:c>
      <x:c r="B11" s="23" t="str">
        <x:v>Пп-1, стены выше +11,400, парапет и ПР3. ЛП4 остаётся в переходе с третьего этажа.</x:v>
      </x:c>
      <x:c r="C11" s="23" t="str">
        <x:v>Отдельная вкладка</x:v>
      </x:c>
    </x:row>
    <x:row r="12" ht="65" customHeight="1">
      <x:c r="A12" s="23" t="str">
        <x:v>Достоверность чисел</x:v>
      </x:c>
      <x:c r="B12" s="23" t="str">
        <x:v>Синие исходные значения — по РД. Формулы — арифметика. Жёлтые — предварительно/не определено. Красные — выявленное расхождение.</x:v>
      </x:c>
      <x:c r="C12" s="23" t="str">
        <x:v>Пусто ≠ ноль</x:v>
      </x:c>
    </x:row>
    <x:row r="13" ht="65" customHeight="1">
      <x:c r="A13" s="23" t="str">
        <x:v>Не задвоено</x:v>
      </x:c>
      <x:c r="B13" s="23" t="str">
        <x:v>Каркасы Кр раскрыты на стержни. Родительская масса не суммируется с деталями. Строка бетона 2,6 м³ л.56 не добавлена к ЛП1–ЛП4.</x:v>
      </x:c>
      <x:c r="C13" s="23" t="str">
        <x:v>Контроль 21_Проверки</x:v>
      </x:c>
    </x:row>
    <x:row r="14" ht="65" customHeight="1">
      <x:c r="A14" s="36" t="str">
        <x:v>Что не является заказом</x:v>
      </x:c>
      <x:c r="B14" s="36" t="str">
        <x:v>Расходы Фп-1, Пп-1, массы КС1 и отдельной арматуры требуют исправленной спецификации. Метраж по заготовкам не сверяет размещение маршей.</x:v>
      </x:c>
      <x:c r="C14" s="36" t="str">
        <x:v>Согласовать до закупки</x:v>
      </x:c>
    </x:row>
    <x:row r="15" ht="65" customHeight="1">
      <x:c r="A15" s="36" t="str">
        <x:v>Статус 3D</x:v>
      </x:c>
      <x:c r="B15" s="36" t="str">
        <x:v>Проступь 300 мм сохранена, концы маршей не подгонялись к площадкам. Из-за противоречивых цепочек есть недоходы/заходы; они показаны контрольными объёмами. Полная монтажная раскладка требует согласования.</x:v>
      </x:c>
      <x:c r="C15" s="36" t="str">
        <x:v>Не для изготовления</x:v>
      </x:c>
    </x:row>
    <x:row r="16" ht="65" customHeight="1">
      <x:c r="A16" s="36" t="str">
        <x:v>Кладка</x:v>
      </x:c>
      <x:c r="B16" s="36" t="str">
        <x:v>Предварительный объём по ядру с вычетом дверей; мелкие гнёзда, перемычки и существующие поверхности требуют уточнения. Число кирпичей и расход раствора не выдуманы.</x:v>
      </x:c>
      <x:c r="C16" s="36" t="str">
        <x:v>Не подтверждённый ВОР</x:v>
      </x:c>
    </x:row>
    <x:row r="17" ht="65" customHeight="1">
      <x:c r="A17" s="23" t="str">
        <x:v>Огнезащита</x:v>
      </x:c>
      <x:c r="B17" s="23" t="str">
        <x:v>Л.70 добавлен отдельно: 15,6 м² балки + 26,7 м² косоуры. Нетто плит: два слоя × поверхность короба. Поэтажные площади РД не даны, оставлены общими.</x:v>
      </x:c>
      <x:c r="C17" s="23" t="str">
        <x:v>Вне диапазона 47–69</x:v>
      </x:c>
    </x:row>
    <x:row r="18" ht="65" customHeight="1">
      <x:c r="A18" s="23" t="str">
        <x:v>Без произвольных исходных</x:v>
      </x:c>
      <x:c r="B18" s="23" t="str">
        <x:v>Не назначены цены, запасы, отходы, даты выполнения, объёмы земляных работ, ограждений, временных креплений и площадь окраски.</x:v>
      </x:c>
      <x:c r="C18" s="23" t="str">
        <x:v>Уточнения в ВОР</x:v>
      </x:c>
    </x:row>
    <x:row r="19" ht="65" customHeight="1">
      <x:c r="A19" s="23" t="str">
        <x:v>Файлы</x:v>
      </x:c>
      <x:c r="B19" s="23" t="str">
        <x:v>Troitsk_B24_R03.html; model/Troitsk_B24_R03.glb; model/Troitsk_L1_R03.glb. Относительные пути к выписке PDF работают внутри полного архива.</x:v>
      </x:c>
      <x:c r="C19" s="23" t="str">
        <x:v>HTML офлайн</x:v>
      </x:c>
    </x:row>
    <x:row r="20" ht="65" customHeight="1">
      <x:c r="A20" s="23" t="str">
        <x:v>Ответственность за применение</x:v>
      </x:c>
      <x:c r="B20" s="23" t="str">
        <x:v>Модель не подтверждена исполнительной съёмкой; таблица не доказывает выполнение. Для производства требуются согласованная РД и ППР.</x:v>
      </x:c>
      <x:c r="C20" s="23" t="str">
        <x:v>Контрольная редакция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" hidden="0" customWidth="1"/>
    <x:col min="3" max="3" width="26" hidden="0" customWidth="1"/>
    <x:col min="4" max="4" width="12" hidden="0" customWidth="1"/>
    <x:col min="5" max="5" width="25" hidden="0" customWidth="1"/>
    <x:col min="6" max="6" width="12" hidden="0" customWidth="1"/>
    <x:col min="7" max="7" width="8" hidden="0" customWidth="1"/>
    <x:col min="8" max="8" width="8" hidden="0" customWidth="1"/>
    <x:col min="9" max="9" width="55" hidden="0" customWidth="1"/>
  </x:cols>
  <x:sheetData>
    <x:row r="1" ht="32" customHeight="1">
      <x:c r="A1" s="4" t="str">
        <x:v>Л-1 / ПОЭТАЖНЫЙ РЕЕСТР ЭКЗЕМПЛЯРОВ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10" t="str">
        <x:v>Переход между этажами относится к нижнему этажу; площадка и МУ на верхней отметке входят в тот же переход. МУ1 учтён на двух уровнях. Для КС количество включает т/н.</x:v>
      </x:c>
      <x:c r="B2" s="10"/>
      <x:c r="C2" s="10"/>
      <x:c r="D2" s="10"/>
      <x:c r="E2" s="10"/>
      <x:c r="F2" s="10"/>
      <x:c r="G2" s="10"/>
      <x:c r="H2" s="10"/>
      <x:c r="I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5" ht="38" customHeight="1">
      <x:c r="A5" s="17" t="str">
        <x:v>ID / связь с моделью</x:v>
      </x:c>
      <x:c r="B5" s="17" t="str">
        <x:v>Код</x:v>
      </x:c>
      <x:c r="C5" s="17" t="str">
        <x:v>Участок</x:v>
      </x:c>
      <x:c r="D5" s="17" t="str">
        <x:v>Марка</x:v>
      </x:c>
      <x:c r="E5" s="17" t="str">
        <x:v>Отметка / диапазон</x:v>
      </x:c>
      <x:c r="F5" s="17" t="str">
        <x:v>Кол., шт</x:v>
      </x:c>
      <x:c r="G5" s="17" t="str">
        <x:v>Лист</x:v>
      </x:c>
      <x:c r="H5" s="17" t="str">
        <x:v>PDF</x:v>
      </x:c>
      <x:c r="I5" s="17" t="str">
        <x:v>Основание разбивки</x:v>
      </x:c>
    </x:row>
    <x:row r="6" ht="46" customHeight="1">
      <x:c r="A6" s="23" t="str">
        <x:v>L1_Фп-1</x:v>
      </x:c>
      <x:c r="B6" s="23" t="str">
        <x:v>P0</x:v>
      </x:c>
      <x:c r="C6" s="23" t="str">
        <x:v>Подземная часть</x:v>
      </x:c>
      <x:c r="D6" s="23" t="str">
        <x:v>Фп-1</x:v>
      </x:c>
      <x:c r="E6" s="23" t="str">
        <x:v>−2,450…−0,100</x:v>
      </x:c>
      <x:c r="F6" s="23" t="n">
        <x:v>1</x:v>
      </x:c>
      <x:c r="G6" s="23" t="n">
        <x:v>48</x:v>
      </x:c>
      <x:c r="H6" s="23" t="n">
        <x:v>58</x:v>
      </x:c>
      <x:c r="I6" s="23" t="str"/>
    </x:row>
    <x:row r="7" ht="46" customHeight="1">
      <x:c r="A7" s="23" t="str">
        <x:v>L1_С-1-1</x:v>
      </x:c>
      <x:c r="B7" s="23" t="str">
        <x:v>P0</x:v>
      </x:c>
      <x:c r="C7" s="23" t="str">
        <x:v>Подземная часть</x:v>
      </x:c>
      <x:c r="D7" s="23" t="str">
        <x:v>С-1-1</x:v>
      </x:c>
      <x:c r="E7" s="23" t="str">
        <x:v>−2,450…−0,100</x:v>
      </x:c>
      <x:c r="F7" s="23" t="n">
        <x:v>1</x:v>
      </x:c>
      <x:c r="G7" s="23" t="n">
        <x:v>49</x:v>
      </x:c>
      <x:c r="H7" s="23" t="n">
        <x:v>59</x:v>
      </x:c>
      <x:c r="I7" s="23" t="str"/>
    </x:row>
    <x:row r="8" ht="46" customHeight="1">
      <x:c r="A8" s="23" t="str">
        <x:v>L1_С-1-2</x:v>
      </x:c>
      <x:c r="B8" s="23" t="str">
        <x:v>P0</x:v>
      </x:c>
      <x:c r="C8" s="23" t="str">
        <x:v>Подземная часть</x:v>
      </x:c>
      <x:c r="D8" s="23" t="str">
        <x:v>С-1-2</x:v>
      </x:c>
      <x:c r="E8" s="23" t="str">
        <x:v>−2,450…−0,100</x:v>
      </x:c>
      <x:c r="F8" s="23" t="n">
        <x:v>1</x:v>
      </x:c>
      <x:c r="G8" s="23" t="n">
        <x:v>49</x:v>
      </x:c>
      <x:c r="H8" s="23" t="n">
        <x:v>59</x:v>
      </x:c>
      <x:c r="I8" s="23" t="str"/>
    </x:row>
    <x:row r="9" ht="46" customHeight="1">
      <x:c r="A9" s="23" t="str">
        <x:v>L1_С-1-3</x:v>
      </x:c>
      <x:c r="B9" s="23" t="str">
        <x:v>P0</x:v>
      </x:c>
      <x:c r="C9" s="23" t="str">
        <x:v>Подземная часть</x:v>
      </x:c>
      <x:c r="D9" s="23" t="str">
        <x:v>С-1-3</x:v>
      </x:c>
      <x:c r="E9" s="23" t="str">
        <x:v>−2,450…−0,100</x:v>
      </x:c>
      <x:c r="F9" s="23" t="n">
        <x:v>1</x:v>
      </x:c>
      <x:c r="G9" s="23" t="n">
        <x:v>49</x:v>
      </x:c>
      <x:c r="H9" s="23" t="n">
        <x:v>59</x:v>
      </x:c>
      <x:c r="I9" s="23" t="str"/>
    </x:row>
    <x:row r="10" ht="46" customHeight="1">
      <x:c r="A10" s="23" t="str">
        <x:v>L1_С-1-4</x:v>
      </x:c>
      <x:c r="B10" s="23" t="str">
        <x:v>P0</x:v>
      </x:c>
      <x:c r="C10" s="23" t="str">
        <x:v>Подземная часть</x:v>
      </x:c>
      <x:c r="D10" s="23" t="str">
        <x:v>С-1-4</x:v>
      </x:c>
      <x:c r="E10" s="23" t="str">
        <x:v>−2,450…−0,100</x:v>
      </x:c>
      <x:c r="F10" s="23" t="n">
        <x:v>1</x:v>
      </x:c>
      <x:c r="G10" s="23" t="n">
        <x:v>49</x:v>
      </x:c>
      <x:c r="H10" s="23" t="n">
        <x:v>59</x:v>
      </x:c>
      <x:c r="I10" s="23" t="str"/>
    </x:row>
    <x:row r="11" ht="46" customHeight="1">
      <x:c r="A11" s="23" t="str">
        <x:v>L1_ЛП1_F1</x:v>
      </x:c>
      <x:c r="B11" s="23" t="str">
        <x:v>F1</x:v>
      </x:c>
      <x:c r="C11" s="23" t="str">
        <x:v>1 этаж → 2 этаж</x:v>
      </x:c>
      <x:c r="D11" s="23" t="str">
        <x:v>ЛП1</x:v>
      </x:c>
      <x:c r="E11" s="23" t="str">
        <x:v>+1,750</x:v>
      </x:c>
      <x:c r="F11" s="23" t="n">
        <x:v>1</x:v>
      </x:c>
      <x:c r="G11" s="23" t="n">
        <x:v>60</x:v>
      </x:c>
      <x:c r="H11" s="23" t="n">
        <x:v>70</x:v>
      </x:c>
      <x:c r="I11" s="23" t="str"/>
    </x:row>
    <x:row r="12" ht="46" customHeight="1">
      <x:c r="A12" s="23" t="str">
        <x:v>L1_ЛП2_F2</x:v>
      </x:c>
      <x:c r="B12" s="23" t="str">
        <x:v>F2</x:v>
      </x:c>
      <x:c r="C12" s="23" t="str">
        <x:v>2 этаж → 3 этаж</x:v>
      </x:c>
      <x:c r="D12" s="23" t="str">
        <x:v>ЛП2</x:v>
      </x:c>
      <x:c r="E12" s="23" t="str">
        <x:v>+5,350</x:v>
      </x:c>
      <x:c r="F12" s="23" t="n">
        <x:v>1</x:v>
      </x:c>
      <x:c r="G12" s="23" t="n">
        <x:v>61</x:v>
      </x:c>
      <x:c r="H12" s="23" t="n">
        <x:v>71</x:v>
      </x:c>
      <x:c r="I12" s="23" t="str"/>
    </x:row>
    <x:row r="13" ht="46" customHeight="1">
      <x:c r="A13" s="23" t="str">
        <x:v>L1_ЛП3_F3</x:v>
      </x:c>
      <x:c r="B13" s="23" t="str">
        <x:v>F3</x:v>
      </x:c>
      <x:c r="C13" s="23" t="str">
        <x:v>3 этаж → выход на кровлю</x:v>
      </x:c>
      <x:c r="D13" s="23" t="str">
        <x:v>ЛП3</x:v>
      </x:c>
      <x:c r="E13" s="23" t="str">
        <x:v>+9,250</x:v>
      </x:c>
      <x:c r="F13" s="23" t="n">
        <x:v>1</x:v>
      </x:c>
      <x:c r="G13" s="23" t="n">
        <x:v>62</x:v>
      </x:c>
      <x:c r="H13" s="23" t="n">
        <x:v>72</x:v>
      </x:c>
      <x:c r="I13" s="23" t="str"/>
    </x:row>
    <x:row r="14" ht="46" customHeight="1">
      <x:c r="A14" s="23" t="str">
        <x:v>L1_ЛП4_F3</x:v>
      </x:c>
      <x:c r="B14" s="23" t="str">
        <x:v>F3</x:v>
      </x:c>
      <x:c r="C14" s="23" t="str">
        <x:v>3 этаж → выход на кровлю</x:v>
      </x:c>
      <x:c r="D14" s="23" t="str">
        <x:v>ЛП4</x:v>
      </x:c>
      <x:c r="E14" s="23" t="str">
        <x:v>+11,350</x:v>
      </x:c>
      <x:c r="F14" s="23" t="n">
        <x:v>1</x:v>
      </x:c>
      <x:c r="G14" s="23" t="n">
        <x:v>63</x:v>
      </x:c>
      <x:c r="H14" s="23" t="n">
        <x:v>73</x:v>
      </x:c>
      <x:c r="I14" s="23" t="str"/>
    </x:row>
    <x:row r="15" ht="46" customHeight="1">
      <x:c r="A15" s="23" t="str">
        <x:v>L1_МУ1_F1</x:v>
      </x:c>
      <x:c r="B15" s="23" t="str">
        <x:v>F1</x:v>
      </x:c>
      <x:c r="C15" s="23" t="str">
        <x:v>1 этаж → 2 этаж</x:v>
      </x:c>
      <x:c r="D15" s="23" t="str">
        <x:v>МУ1</x:v>
      </x:c>
      <x:c r="E15" s="23" t="str">
        <x:v>+3,500</x:v>
      </x:c>
      <x:c r="F15" s="23" t="n">
        <x:v>1</x:v>
      </x:c>
      <x:c r="G15" s="23" t="n">
        <x:v>66</x:v>
      </x:c>
      <x:c r="H15" s="23" t="n">
        <x:v>76</x:v>
      </x:c>
      <x:c r="I15" s="23" t="str">
        <x:v>МУ1: два экземпляра</x:v>
      </x:c>
    </x:row>
    <x:row r="16" ht="46" customHeight="1">
      <x:c r="A16" s="23" t="str">
        <x:v>L1_МУ2_F1</x:v>
      </x:c>
      <x:c r="B16" s="23" t="str">
        <x:v>F1</x:v>
      </x:c>
      <x:c r="C16" s="23" t="str">
        <x:v>1 этаж → 2 этаж</x:v>
      </x:c>
      <x:c r="D16" s="23" t="str">
        <x:v>МУ2</x:v>
      </x:c>
      <x:c r="E16" s="23" t="str">
        <x:v>+3,500</x:v>
      </x:c>
      <x:c r="F16" s="23" t="n">
        <x:v>1</x:v>
      </x:c>
      <x:c r="G16" s="23" t="n">
        <x:v>67</x:v>
      </x:c>
      <x:c r="H16" s="23" t="n">
        <x:v>77</x:v>
      </x:c>
      <x:c r="I16" s="23" t="str"/>
    </x:row>
    <x:row r="17" ht="46" customHeight="1">
      <x:c r="A17" s="23" t="str">
        <x:v>L1_МУ1_F2</x:v>
      </x:c>
      <x:c r="B17" s="23" t="str">
        <x:v>F2</x:v>
      </x:c>
      <x:c r="C17" s="23" t="str">
        <x:v>2 этаж → 3 этаж</x:v>
      </x:c>
      <x:c r="D17" s="23" t="str">
        <x:v>МУ1</x:v>
      </x:c>
      <x:c r="E17" s="23" t="str">
        <x:v>+7,100</x:v>
      </x:c>
      <x:c r="F17" s="23" t="n">
        <x:v>1</x:v>
      </x:c>
      <x:c r="G17" s="23" t="n">
        <x:v>66</x:v>
      </x:c>
      <x:c r="H17" s="23" t="n">
        <x:v>76</x:v>
      </x:c>
      <x:c r="I17" s="23" t="str">
        <x:v>МУ1: два экземпляра</x:v>
      </x:c>
    </x:row>
    <x:row r="18" ht="46" customHeight="1">
      <x:c r="A18" s="23" t="str">
        <x:v>L1_МУ3_F2</x:v>
      </x:c>
      <x:c r="B18" s="23" t="str">
        <x:v>F2</x:v>
      </x:c>
      <x:c r="C18" s="23" t="str">
        <x:v>2 этаж → 3 этаж</x:v>
      </x:c>
      <x:c r="D18" s="23" t="str">
        <x:v>МУ3</x:v>
      </x:c>
      <x:c r="E18" s="23" t="str">
        <x:v>+7,100</x:v>
      </x:c>
      <x:c r="F18" s="23" t="n">
        <x:v>1</x:v>
      </x:c>
      <x:c r="G18" s="23" t="n">
        <x:v>68</x:v>
      </x:c>
      <x:c r="H18" s="23" t="n">
        <x:v>78</x:v>
      </x:c>
      <x:c r="I18" s="23" t="str"/>
    </x:row>
    <x:row r="19" ht="46" customHeight="1">
      <x:c r="A19" s="23" t="str">
        <x:v>L1_Пп-1_RF</x:v>
      </x:c>
      <x:c r="B19" s="23" t="str">
        <x:v>RF</x:v>
      </x:c>
      <x:c r="C19" s="23" t="str">
        <x:v>Надстройка / покрытие</x:v>
      </x:c>
      <x:c r="D19" s="23" t="str">
        <x:v>Пп-1</x:v>
      </x:c>
      <x:c r="E19" s="23" t="str">
        <x:v>+13,550 / +13,750 — коллизия</x:v>
      </x:c>
      <x:c r="F19" s="23" t="n">
        <x:v>1</x:v>
      </x:c>
      <x:c r="G19" s="23" t="n">
        <x:v>69</x:v>
      </x:c>
      <x:c r="H19" s="23" t="n">
        <x:v>79</x:v>
      </x:c>
      <x:c r="I19" s="23" t="str"/>
    </x:row>
    <x:row r="20" ht="46" customHeight="1">
      <x:c r="A20" s="23" t="str">
        <x:v>L1_КС1_F1</x:v>
      </x:c>
      <x:c r="B20" s="23" t="str">
        <x:v>F1</x:v>
      </x:c>
      <x:c r="C20" s="23" t="str">
        <x:v>1 этаж → 2 этаж</x:v>
      </x:c>
      <x:c r="D20" s="23" t="str">
        <x:v>КС1</x:v>
      </x:c>
      <x:c r="E20" s="23" t="str">
        <x:v>0,000…+3,600</x:v>
      </x:c>
      <x:c r="F20" s="23" t="n">
        <x:v>2</x:v>
      </x:c>
      <x:c r="G20" s="23" t="n">
        <x:v>55</x:v>
      </x:c>
      <x:c r="H20" s="23" t="n">
        <x:v>65</x:v>
      </x:c>
      <x:c r="I20" s="23" t="str">
        <x:v>Парные т/н; изготовление зеркальное</x:v>
      </x:c>
    </x:row>
    <x:row r="21" ht="46" customHeight="1">
      <x:c r="A21" s="23" t="str">
        <x:v>L1_КС2_F1</x:v>
      </x:c>
      <x:c r="B21" s="23" t="str">
        <x:v>F1</x:v>
      </x:c>
      <x:c r="C21" s="23" t="str">
        <x:v>1 этаж → 2 этаж</x:v>
      </x:c>
      <x:c r="D21" s="23" t="str">
        <x:v>КС2</x:v>
      </x:c>
      <x:c r="E21" s="23" t="str">
        <x:v>0,000…+3,600</x:v>
      </x:c>
      <x:c r="F21" s="23" t="n">
        <x:v>2</x:v>
      </x:c>
      <x:c r="G21" s="23" t="n">
        <x:v>55</x:v>
      </x:c>
      <x:c r="H21" s="23" t="n">
        <x:v>65</x:v>
      </x:c>
      <x:c r="I21" s="23" t="str">
        <x:v>Парные т/н; изготовление зеркальное</x:v>
      </x:c>
    </x:row>
    <x:row r="22" ht="46" customHeight="1">
      <x:c r="A22" s="23" t="str">
        <x:v>L1_МБ1_F1</x:v>
      </x:c>
      <x:c r="B22" s="23" t="str">
        <x:v>F1</x:v>
      </x:c>
      <x:c r="C22" s="23" t="str">
        <x:v>1 этаж → 2 этаж</x:v>
      </x:c>
      <x:c r="D22" s="23" t="str">
        <x:v>МБ1</x:v>
      </x:c>
      <x:c r="E22" s="23" t="str">
        <x:v>0,000…+3,600</x:v>
      </x:c>
      <x:c r="F22" s="23" t="n">
        <x:v>2</x:v>
      </x:c>
      <x:c r="G22" s="23" t="n">
        <x:v>55</x:v>
      </x:c>
      <x:c r="H22" s="23" t="n">
        <x:v>65</x:v>
      </x:c>
      <x:c r="I22" s="23" t="str"/>
    </x:row>
    <x:row r="23" ht="46" customHeight="1">
      <x:c r="A23" s="23" t="str">
        <x:v>L1_МБ2_F1</x:v>
      </x:c>
      <x:c r="B23" s="23" t="str">
        <x:v>F1</x:v>
      </x:c>
      <x:c r="C23" s="23" t="str">
        <x:v>1 этаж → 2 этаж</x:v>
      </x:c>
      <x:c r="D23" s="23" t="str">
        <x:v>МБ2</x:v>
      </x:c>
      <x:c r="E23" s="23" t="str">
        <x:v>0,000…+3,600</x:v>
      </x:c>
      <x:c r="F23" s="23" t="n">
        <x:v>1</x:v>
      </x:c>
      <x:c r="G23" s="23" t="n">
        <x:v>55</x:v>
      </x:c>
      <x:c r="H23" s="23" t="n">
        <x:v>65</x:v>
      </x:c>
      <x:c r="I23" s="23" t="str"/>
    </x:row>
    <x:row r="24" ht="46" customHeight="1">
      <x:c r="A24" s="23" t="str">
        <x:v>L1_ЛС1_F1</x:v>
      </x:c>
      <x:c r="B24" s="23" t="str">
        <x:v>F1</x:v>
      </x:c>
      <x:c r="C24" s="23" t="str">
        <x:v>1 этаж → 2 этаж</x:v>
      </x:c>
      <x:c r="D24" s="23" t="str">
        <x:v>ЛС1</x:v>
      </x:c>
      <x:c r="E24" s="23" t="str">
        <x:v>0,000…+3,600</x:v>
      </x:c>
      <x:c r="F24" s="23" t="n">
        <x:v>22</x:v>
      </x:c>
      <x:c r="G24" s="23" t="n">
        <x:v>55</x:v>
      </x:c>
      <x:c r="H24" s="23" t="n">
        <x:v>65</x:v>
      </x:c>
      <x:c r="I24" s="23" t="str">
        <x:v>Разбивка ЛС1 по геометрии: 11+11;11+11;13+13. Общий итог 70 — л.56.</x:v>
      </x:c>
    </x:row>
    <x:row r="25" ht="46" customHeight="1">
      <x:c r="A25" s="23" t="str">
        <x:v>L1_ОП1_F1</x:v>
      </x:c>
      <x:c r="B25" s="23" t="str">
        <x:v>F1</x:v>
      </x:c>
      <x:c r="C25" s="23" t="str">
        <x:v>1 этаж → 2 этаж</x:v>
      </x:c>
      <x:c r="D25" s="23" t="str">
        <x:v>ОП1</x:v>
      </x:c>
      <x:c r="E25" s="23" t="str">
        <x:v>0,000…+3,600</x:v>
      </x:c>
      <x:c r="F25" s="23" t="n">
        <x:v>6</x:v>
      </x:c>
      <x:c r="G25" s="23" t="n">
        <x:v>55</x:v>
      </x:c>
      <x:c r="H25" s="23" t="n">
        <x:v>65</x:v>
      </x:c>
      <x:c r="I25" s="23" t="str"/>
    </x:row>
    <x:row r="26" ht="46" customHeight="1">
      <x:c r="A26" s="23" t="str">
        <x:v>L1_ПР1_F1</x:v>
      </x:c>
      <x:c r="B26" s="23" t="str">
        <x:v>F1</x:v>
      </x:c>
      <x:c r="C26" s="23" t="str">
        <x:v>1 этаж → 2 этаж</x:v>
      </x:c>
      <x:c r="D26" s="23" t="str">
        <x:v>ПР1</x:v>
      </x:c>
      <x:c r="E26" s="23" t="str">
        <x:v>0,000…+3,600</x:v>
      </x:c>
      <x:c r="F26" s="23" t="n">
        <x:v>2</x:v>
      </x:c>
      <x:c r="G26" s="23" t="n">
        <x:v>55</x:v>
      </x:c>
      <x:c r="H26" s="23" t="n">
        <x:v>65</x:v>
      </x:c>
      <x:c r="I26" s="23" t="str"/>
    </x:row>
    <x:row r="27" ht="46" customHeight="1">
      <x:c r="A27" s="23" t="str">
        <x:v>L1_ПР2_F1</x:v>
      </x:c>
      <x:c r="B27" s="23" t="str">
        <x:v>F1</x:v>
      </x:c>
      <x:c r="C27" s="23" t="str">
        <x:v>1 этаж → 2 этаж</x:v>
      </x:c>
      <x:c r="D27" s="23" t="str">
        <x:v>ПР2</x:v>
      </x:c>
      <x:c r="E27" s="23" t="str">
        <x:v>0,000…+3,600</x:v>
      </x:c>
      <x:c r="F27" s="23" t="n">
        <x:v>1</x:v>
      </x:c>
      <x:c r="G27" s="23" t="n">
        <x:v>55</x:v>
      </x:c>
      <x:c r="H27" s="23" t="n">
        <x:v>65</x:v>
      </x:c>
      <x:c r="I27" s="23" t="str"/>
    </x:row>
    <x:row r="28" ht="46" customHeight="1">
      <x:c r="A28" s="23" t="str">
        <x:v>L1_КС2_F2</x:v>
      </x:c>
      <x:c r="B28" s="23" t="str">
        <x:v>F2</x:v>
      </x:c>
      <x:c r="C28" s="23" t="str">
        <x:v>2 этаж → 3 этаж</x:v>
      </x:c>
      <x:c r="D28" s="23" t="str">
        <x:v>КС2</x:v>
      </x:c>
      <x:c r="E28" s="23" t="str">
        <x:v>+3,600…+7,200</x:v>
      </x:c>
      <x:c r="F28" s="23" t="n">
        <x:v>4</x:v>
      </x:c>
      <x:c r="G28" s="23" t="n">
        <x:v>55</x:v>
      </x:c>
      <x:c r="H28" s="23" t="n">
        <x:v>65</x:v>
      </x:c>
      <x:c r="I28" s="23" t="str">
        <x:v>Парные т/н; изготовление зеркальное</x:v>
      </x:c>
    </x:row>
    <x:row r="29" ht="46" customHeight="1">
      <x:c r="A29" s="23" t="str">
        <x:v>L1_МБ1_F2</x:v>
      </x:c>
      <x:c r="B29" s="23" t="str">
        <x:v>F2</x:v>
      </x:c>
      <x:c r="C29" s="23" t="str">
        <x:v>2 этаж → 3 этаж</x:v>
      </x:c>
      <x:c r="D29" s="23" t="str">
        <x:v>МБ1</x:v>
      </x:c>
      <x:c r="E29" s="23" t="str">
        <x:v>+3,600…+7,200</x:v>
      </x:c>
      <x:c r="F29" s="23" t="n">
        <x:v>2</x:v>
      </x:c>
      <x:c r="G29" s="23" t="n">
        <x:v>55</x:v>
      </x:c>
      <x:c r="H29" s="23" t="n">
        <x:v>65</x:v>
      </x:c>
      <x:c r="I29" s="23" t="str"/>
    </x:row>
    <x:row r="30" ht="46" customHeight="1">
      <x:c r="A30" s="23" t="str">
        <x:v>L1_МБ2_F2</x:v>
      </x:c>
      <x:c r="B30" s="23" t="str">
        <x:v>F2</x:v>
      </x:c>
      <x:c r="C30" s="23" t="str">
        <x:v>2 этаж → 3 этаж</x:v>
      </x:c>
      <x:c r="D30" s="23" t="str">
        <x:v>МБ2</x:v>
      </x:c>
      <x:c r="E30" s="23" t="str">
        <x:v>+3,600…+7,200</x:v>
      </x:c>
      <x:c r="F30" s="23" t="n">
        <x:v>1</x:v>
      </x:c>
      <x:c r="G30" s="23" t="n">
        <x:v>55</x:v>
      </x:c>
      <x:c r="H30" s="23" t="n">
        <x:v>65</x:v>
      </x:c>
      <x:c r="I30" s="23" t="str"/>
    </x:row>
    <x:row r="31" ht="46" customHeight="1">
      <x:c r="A31" s="23" t="str">
        <x:v>L1_ЛС1_F2</x:v>
      </x:c>
      <x:c r="B31" s="23" t="str">
        <x:v>F2</x:v>
      </x:c>
      <x:c r="C31" s="23" t="str">
        <x:v>2 этаж → 3 этаж</x:v>
      </x:c>
      <x:c r="D31" s="23" t="str">
        <x:v>ЛС1</x:v>
      </x:c>
      <x:c r="E31" s="23" t="str">
        <x:v>+3,600…+7,200</x:v>
      </x:c>
      <x:c r="F31" s="23" t="n">
        <x:v>22</x:v>
      </x:c>
      <x:c r="G31" s="23" t="n">
        <x:v>55</x:v>
      </x:c>
      <x:c r="H31" s="23" t="n">
        <x:v>65</x:v>
      </x:c>
      <x:c r="I31" s="23" t="str">
        <x:v>Разбивка ЛС1 по геометрии: 11+11;11+11;13+13. Общий итог 70 — л.56.</x:v>
      </x:c>
    </x:row>
    <x:row r="32" ht="46" customHeight="1">
      <x:c r="A32" s="23" t="str">
        <x:v>L1_ОП1_F2</x:v>
      </x:c>
      <x:c r="B32" s="23" t="str">
        <x:v>F2</x:v>
      </x:c>
      <x:c r="C32" s="23" t="str">
        <x:v>2 этаж → 3 этаж</x:v>
      </x:c>
      <x:c r="D32" s="23" t="str">
        <x:v>ОП1</x:v>
      </x:c>
      <x:c r="E32" s="23" t="str">
        <x:v>+3,600…+7,200</x:v>
      </x:c>
      <x:c r="F32" s="23" t="n">
        <x:v>6</x:v>
      </x:c>
      <x:c r="G32" s="23" t="n">
        <x:v>55</x:v>
      </x:c>
      <x:c r="H32" s="23" t="n">
        <x:v>65</x:v>
      </x:c>
      <x:c r="I32" s="23" t="str"/>
    </x:row>
    <x:row r="33" ht="46" customHeight="1">
      <x:c r="A33" s="23" t="str">
        <x:v>L1_ПР1_F2</x:v>
      </x:c>
      <x:c r="B33" s="23" t="str">
        <x:v>F2</x:v>
      </x:c>
      <x:c r="C33" s="23" t="str">
        <x:v>2 этаж → 3 этаж</x:v>
      </x:c>
      <x:c r="D33" s="23" t="str">
        <x:v>ПР1</x:v>
      </x:c>
      <x:c r="E33" s="23" t="str">
        <x:v>+3,600…+7,200</x:v>
      </x:c>
      <x:c r="F33" s="23" t="n">
        <x:v>2</x:v>
      </x:c>
      <x:c r="G33" s="23" t="n">
        <x:v>55</x:v>
      </x:c>
      <x:c r="H33" s="23" t="n">
        <x:v>65</x:v>
      </x:c>
      <x:c r="I33" s="23" t="str"/>
    </x:row>
    <x:row r="34" ht="46" customHeight="1">
      <x:c r="A34" s="23" t="str">
        <x:v>L1_КС3_F3</x:v>
      </x:c>
      <x:c r="B34" s="23" t="str">
        <x:v>F3</x:v>
      </x:c>
      <x:c r="C34" s="23" t="str">
        <x:v>3 этаж → выход на кровлю</x:v>
      </x:c>
      <x:c r="D34" s="23" t="str">
        <x:v>КС3</x:v>
      </x:c>
      <x:c r="E34" s="23" t="str">
        <x:v>+7,200…+11,400</x:v>
      </x:c>
      <x:c r="F34" s="23" t="n">
        <x:v>2</x:v>
      </x:c>
      <x:c r="G34" s="23" t="n">
        <x:v>55</x:v>
      </x:c>
      <x:c r="H34" s="23" t="n">
        <x:v>65</x:v>
      </x:c>
      <x:c r="I34" s="23" t="str">
        <x:v>Парные т/н; изготовление зеркальное</x:v>
      </x:c>
    </x:row>
    <x:row r="35" ht="46" customHeight="1">
      <x:c r="A35" s="23" t="str">
        <x:v>L1_КС4_F3</x:v>
      </x:c>
      <x:c r="B35" s="23" t="str">
        <x:v>F3</x:v>
      </x:c>
      <x:c r="C35" s="23" t="str">
        <x:v>3 этаж → выход на кровлю</x:v>
      </x:c>
      <x:c r="D35" s="23" t="str">
        <x:v>КС4</x:v>
      </x:c>
      <x:c r="E35" s="23" t="str">
        <x:v>+7,200…+11,400</x:v>
      </x:c>
      <x:c r="F35" s="23" t="n">
        <x:v>2</x:v>
      </x:c>
      <x:c r="G35" s="23" t="n">
        <x:v>55</x:v>
      </x:c>
      <x:c r="H35" s="23" t="n">
        <x:v>65</x:v>
      </x:c>
      <x:c r="I35" s="23" t="str">
        <x:v>Парные т/н; изготовление зеркальное</x:v>
      </x:c>
    </x:row>
    <x:row r="36" ht="46" customHeight="1">
      <x:c r="A36" s="23" t="str">
        <x:v>L1_МБ1_F3</x:v>
      </x:c>
      <x:c r="B36" s="23" t="str">
        <x:v>F3</x:v>
      </x:c>
      <x:c r="C36" s="23" t="str">
        <x:v>3 этаж → выход на кровлю</x:v>
      </x:c>
      <x:c r="D36" s="23" t="str">
        <x:v>МБ1</x:v>
      </x:c>
      <x:c r="E36" s="23" t="str">
        <x:v>+7,200…+11,400</x:v>
      </x:c>
      <x:c r="F36" s="23" t="n">
        <x:v>2</x:v>
      </x:c>
      <x:c r="G36" s="23" t="n">
        <x:v>55</x:v>
      </x:c>
      <x:c r="H36" s="23" t="n">
        <x:v>65</x:v>
      </x:c>
      <x:c r="I36" s="23" t="str"/>
    </x:row>
    <x:row r="37" ht="46" customHeight="1">
      <x:c r="A37" s="23" t="str">
        <x:v>L1_МБ2_F3</x:v>
      </x:c>
      <x:c r="B37" s="23" t="str">
        <x:v>F3</x:v>
      </x:c>
      <x:c r="C37" s="23" t="str">
        <x:v>3 этаж → выход на кровлю</x:v>
      </x:c>
      <x:c r="D37" s="23" t="str">
        <x:v>МБ2</x:v>
      </x:c>
      <x:c r="E37" s="23" t="str">
        <x:v>+7,200…+11,400</x:v>
      </x:c>
      <x:c r="F37" s="23" t="n">
        <x:v>1</x:v>
      </x:c>
      <x:c r="G37" s="23" t="n">
        <x:v>55</x:v>
      </x:c>
      <x:c r="H37" s="23" t="n">
        <x:v>65</x:v>
      </x:c>
      <x:c r="I37" s="23" t="str"/>
    </x:row>
    <x:row r="38" ht="46" customHeight="1">
      <x:c r="A38" s="23" t="str">
        <x:v>L1_МБ3_F3</x:v>
      </x:c>
      <x:c r="B38" s="23" t="str">
        <x:v>F3</x:v>
      </x:c>
      <x:c r="C38" s="23" t="str">
        <x:v>3 этаж → выход на кровлю</x:v>
      </x:c>
      <x:c r="D38" s="23" t="str">
        <x:v>МБ3</x:v>
      </x:c>
      <x:c r="E38" s="23" t="str">
        <x:v>+7,200…+11,400</x:v>
      </x:c>
      <x:c r="F38" s="23" t="n">
        <x:v>1</x:v>
      </x:c>
      <x:c r="G38" s="23" t="n">
        <x:v>55</x:v>
      </x:c>
      <x:c r="H38" s="23" t="n">
        <x:v>65</x:v>
      </x:c>
      <x:c r="I38" s="23" t="str"/>
    </x:row>
    <x:row r="39" ht="46" customHeight="1">
      <x:c r="A39" s="23" t="str">
        <x:v>L1_ЛС1_F3</x:v>
      </x:c>
      <x:c r="B39" s="23" t="str">
        <x:v>F3</x:v>
      </x:c>
      <x:c r="C39" s="23" t="str">
        <x:v>3 этаж → выход на кровлю</x:v>
      </x:c>
      <x:c r="D39" s="23" t="str">
        <x:v>ЛС1</x:v>
      </x:c>
      <x:c r="E39" s="23" t="str">
        <x:v>+7,200…+11,400</x:v>
      </x:c>
      <x:c r="F39" s="23" t="n">
        <x:v>26</x:v>
      </x:c>
      <x:c r="G39" s="23" t="n">
        <x:v>55</x:v>
      </x:c>
      <x:c r="H39" s="23" t="n">
        <x:v>65</x:v>
      </x:c>
      <x:c r="I39" s="23" t="str">
        <x:v>Разбивка ЛС1 по геометрии: 11+11;11+11;13+13. Общий итог 70 — л.56.</x:v>
      </x:c>
    </x:row>
    <x:row r="40" ht="46" customHeight="1">
      <x:c r="A40" s="23" t="str">
        <x:v>L1_ОП1_F3</x:v>
      </x:c>
      <x:c r="B40" s="23" t="str">
        <x:v>F3</x:v>
      </x:c>
      <x:c r="C40" s="23" t="str">
        <x:v>3 этаж → выход на кровлю</x:v>
      </x:c>
      <x:c r="D40" s="23" t="str">
        <x:v>ОП1</x:v>
      </x:c>
      <x:c r="E40" s="23" t="str">
        <x:v>+7,200…+11,400</x:v>
      </x:c>
      <x:c r="F40" s="23" t="n">
        <x:v>8</x:v>
      </x:c>
      <x:c r="G40" s="23" t="n">
        <x:v>55</x:v>
      </x:c>
      <x:c r="H40" s="23" t="n">
        <x:v>65</x:v>
      </x:c>
      <x:c r="I40" s="23" t="str"/>
    </x:row>
    <x:row r="41" ht="46" customHeight="1">
      <x:c r="A41" s="23" t="str">
        <x:v>L1_ПР1_F3</x:v>
      </x:c>
      <x:c r="B41" s="23" t="str">
        <x:v>F3</x:v>
      </x:c>
      <x:c r="C41" s="23" t="str">
        <x:v>3 этаж → выход на кровлю</x:v>
      </x:c>
      <x:c r="D41" s="23" t="str">
        <x:v>ПР1</x:v>
      </x:c>
      <x:c r="E41" s="23" t="str">
        <x:v>+7,200…+11,400</x:v>
      </x:c>
      <x:c r="F41" s="23" t="n">
        <x:v>2</x:v>
      </x:c>
      <x:c r="G41" s="23" t="n">
        <x:v>55</x:v>
      </x:c>
      <x:c r="H41" s="23" t="n">
        <x:v>65</x:v>
      </x:c>
      <x:c r="I41" s="23" t="str"/>
    </x:row>
    <x:row r="42" ht="46" customHeight="1">
      <x:c r="A42" s="23" t="str">
        <x:v>L1_ПР3_RF</x:v>
      </x:c>
      <x:c r="B42" s="23" t="str">
        <x:v>RF</x:v>
      </x:c>
      <x:c r="C42" s="23" t="str">
        <x:v>Надстройка / покрытие</x:v>
      </x:c>
      <x:c r="D42" s="23" t="str">
        <x:v>ПР3</x:v>
      </x:c>
      <x:c r="E42" s="23" t="str">
        <x:v>+11,400…+13,750</x:v>
      </x:c>
      <x:c r="F42" s="23" t="n">
        <x:v>1</x:v>
      </x:c>
      <x:c r="G42" s="23" t="n">
        <x:v>55</x:v>
      </x:c>
      <x:c r="H42" s="23" t="n">
        <x:v>65</x:v>
      </x:c>
      <x:c r="I42" s="23" t="str"/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440bf952bdeb4d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" hidden="0" customWidth="1"/>
    <x:col min="3" max="3" width="7" hidden="0" customWidth="1"/>
    <x:col min="4" max="4" width="12" hidden="0" customWidth="1"/>
    <x:col min="5" max="5" width="9" hidden="0" customWidth="1"/>
    <x:col min="6" max="6" width="43" hidden="0" customWidth="1"/>
    <x:col min="7" max="7" width="7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7" hidden="0" customWidth="1"/>
    <x:col min="14" max="14" width="12" hidden="0" customWidth="1"/>
    <x:col min="15" max="15" width="58" hidden="0" customWidth="1"/>
  </x:cols>
  <x:sheetData>
    <x:row r="1" ht="32" customHeight="1">
      <x:c r="A1" s="4" t="str">
        <x:v>Л-1 / ИСХОДНЫЕ СТРОКИ СПЕЦИФИКАЦИЙ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10" t="str">
        <x:v>Количество и единичная масса перенесены из видимых таблиц. Правый итог РД указан там, где он отдельно проверен; пустой итог не означает отсутствие количества. Не суммировать каркасы одновременно с их деталями.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8" customHeight="1">
      <x:c r="A5" s="17" t="str">
        <x:v>ID строки</x:v>
      </x:c>
      <x:c r="B5" s="17" t="str">
        <x:v>Лист</x:v>
      </x:c>
      <x:c r="C5" s="17" t="str">
        <x:v>PDF</x:v>
      </x:c>
      <x:c r="D5" s="17" t="str">
        <x:v>Конструкция</x:v>
      </x:c>
      <x:c r="E5" s="17" t="str">
        <x:v>Поз.</x:v>
      </x:c>
      <x:c r="F5" s="17" t="str">
        <x:v>Наименование по РД</x:v>
      </x:c>
      <x:c r="G5" s="17" t="str">
        <x:v>Ед.</x:v>
      </x:c>
      <x:c r="H5" s="17" t="str">
        <x:v>Кол. на ед.</x:v>
      </x:c>
      <x:c r="I5" s="17" t="str">
        <x:v>Масса ед., кг</x:v>
      </x:c>
      <x:c r="J5" s="17" t="str">
        <x:v>Итог РД, кг</x:v>
      </x:c>
      <x:c r="K5" s="17" t="str">
        <x:v>Расчёт, кг</x:v>
      </x:c>
      <x:c r="L5" s="17" t="str">
        <x:v>Δ к РД, кг</x:v>
      </x:c>
      <x:c r="M5" s="17" t="str">
        <x:v>Группа</x:v>
      </x:c>
      <x:c r="N5" s="17" t="str">
        <x:v>Длина, мм</x:v>
      </x:c>
      <x:c r="O5" s="17" t="str">
        <x:v>Примечание / коллизия</x:v>
      </x:c>
    </x:row>
    <x:row r="6" ht="54" customHeight="1">
      <x:c r="A6" s="23" t="str">
        <x:v>S48_Фп-1_1</x:v>
      </x:c>
      <x:c r="B6" s="23" t="n">
        <x:v>48</x:v>
      </x:c>
      <x:c r="C6" s="23" t="n">
        <x:v>58</x:v>
      </x:c>
      <x:c r="D6" s="23" t="str">
        <x:v>Фп-1</x:v>
      </x:c>
      <x:c r="E6" s="23" t="str">
        <x:v>1</x:v>
      </x:c>
      <x:c r="F6" s="23" t="str">
        <x:v>∅16 А500С; L=3060 мм; ГОСТ 34028-2016</x:v>
      </x:c>
      <x:c r="G6" s="23" t="str">
        <x:v>шт</x:v>
      </x:c>
      <x:c r="H6" s="28" t="n">
        <x:v>22</x:v>
      </x:c>
      <x:c r="I6" s="28" t="n">
        <x:v>4.83</x:v>
      </x:c>
      <x:c r="J6" s="28" t="n">
        <x:v>125.58</x:v>
      </x:c>
      <x:c r="K6" s="26" t="n">
        <x:f>IF(I6="","",H6*I6)</x:f>
        <x:v>106.26</x:v>
      </x:c>
      <x:c r="L6" s="26" t="n">
        <x:f>IF(J6="","",K6-J6)</x:f>
        <x:v>-19.319999999999993</x:v>
      </x:c>
      <x:c r="M6" s="23" t="str">
        <x:v>Арматура</x:v>
      </x:c>
      <x:c r="N6" s="23" t="n">
        <x:v>3060</x:v>
      </x:c>
      <x:c r="O6" s="23" t="str">
        <x:v>Расхождения количества/итога/раскладки — RFI-L01. Исходные числа не исправлены.</x:v>
      </x:c>
    </x:row>
    <x:row r="7" ht="54" customHeight="1">
      <x:c r="A7" s="23" t="str">
        <x:v>S48_Фп-1_2</x:v>
      </x:c>
      <x:c r="B7" s="23" t="n">
        <x:v>48</x:v>
      </x:c>
      <x:c r="C7" s="23" t="n">
        <x:v>58</x:v>
      </x:c>
      <x:c r="D7" s="23" t="str">
        <x:v>Фп-1</x:v>
      </x:c>
      <x:c r="E7" s="23" t="str">
        <x:v>2</x:v>
      </x:c>
      <x:c r="F7" s="23" t="str">
        <x:v>∅12 А500С; L=7060 мм; ГОСТ 34028-2016</x:v>
      </x:c>
      <x:c r="G7" s="23" t="str">
        <x:v>шт</x:v>
      </x:c>
      <x:c r="H7" s="28" t="n">
        <x:v>16</x:v>
      </x:c>
      <x:c r="I7" s="28" t="n">
        <x:v>6.27</x:v>
      </x:c>
      <x:c r="J7" s="28" t="n">
        <x:v>119.13</x:v>
      </x:c>
      <x:c r="K7" s="26" t="n">
        <x:f>IF(I7="","",H7*I7)</x:f>
        <x:v>100.32</x:v>
      </x:c>
      <x:c r="L7" s="26" t="n">
        <x:f>IF(J7="","",K7-J7)</x:f>
        <x:v>-18.810000000000002</x:v>
      </x:c>
      <x:c r="M7" s="23" t="str">
        <x:v>Арматура</x:v>
      </x:c>
      <x:c r="N7" s="23" t="n">
        <x:v>7060</x:v>
      </x:c>
      <x:c r="O7" s="23" t="str">
        <x:v>Расхождения количества/итога/раскладки — RFI-L01. Исходные числа не исправлены.</x:v>
      </x:c>
    </x:row>
    <x:row r="8" ht="54" customHeight="1">
      <x:c r="A8" s="23" t="str">
        <x:v>S48_Фп-1_3</x:v>
      </x:c>
      <x:c r="B8" s="23" t="n">
        <x:v>48</x:v>
      </x:c>
      <x:c r="C8" s="23" t="n">
        <x:v>58</x:v>
      </x:c>
      <x:c r="D8" s="23" t="str">
        <x:v>Фп-1</x:v>
      </x:c>
      <x:c r="E8" s="23" t="str">
        <x:v>3</x:v>
      </x:c>
      <x:c r="F8" s="23" t="str">
        <x:v>∅12 А500С; L=2860 мм; ГОСТ 34028-2016</x:v>
      </x:c>
      <x:c r="G8" s="23" t="str">
        <x:v>шт</x:v>
      </x:c>
      <x:c r="H8" s="28" t="n">
        <x:v>20</x:v>
      </x:c>
      <x:c r="I8" s="28" t="n">
        <x:v>2.54</x:v>
      </x:c>
      <x:c r="J8" s="28" t="n">
        <x:v>60.96</x:v>
      </x:c>
      <x:c r="K8" s="26" t="n">
        <x:f>IF(I8="","",H8*I8)</x:f>
        <x:v>50.8</x:v>
      </x:c>
      <x:c r="L8" s="26" t="n">
        <x:f>IF(J8="","",K8-J8)</x:f>
        <x:v>-10.160000000000004</x:v>
      </x:c>
      <x:c r="M8" s="23" t="str">
        <x:v>Арматура</x:v>
      </x:c>
      <x:c r="N8" s="23" t="n">
        <x:v>2860</x:v>
      </x:c>
      <x:c r="O8" s="23" t="str">
        <x:v>Расхождения количества/итога/раскладки — RFI-L01. Исходные числа не исправлены.</x:v>
      </x:c>
    </x:row>
    <x:row r="9" ht="54" customHeight="1">
      <x:c r="A9" s="23" t="str">
        <x:v>S48_Фп-1_4</x:v>
      </x:c>
      <x:c r="B9" s="23" t="n">
        <x:v>48</x:v>
      </x:c>
      <x:c r="C9" s="23" t="n">
        <x:v>58</x:v>
      </x:c>
      <x:c r="D9" s="23" t="str">
        <x:v>Фп-1</x:v>
      </x:c>
      <x:c r="E9" s="23" t="str">
        <x:v>4</x:v>
      </x:c>
      <x:c r="F9" s="23" t="str">
        <x:v>∅22 А500С; L=6960 мм; ГОСТ 34028-2016</x:v>
      </x:c>
      <x:c r="G9" s="23" t="str">
        <x:v>шт</x:v>
      </x:c>
      <x:c r="H9" s="28" t="n">
        <x:v>29</x:v>
      </x:c>
      <x:c r="I9" s="28" t="n">
        <x:v>20.74</x:v>
      </x:c>
      <x:c r="J9" s="28" t="n">
        <x:v>725.9</x:v>
      </x:c>
      <x:c r="K9" s="26" t="n">
        <x:f>IF(I9="","",H9*I9)</x:f>
        <x:v>601.4599999999999</x:v>
      </x:c>
      <x:c r="L9" s="26" t="n">
        <x:f>IF(J9="","",K9-J9)</x:f>
        <x:v>-124.44000000000005</x:v>
      </x:c>
      <x:c r="M9" s="23" t="str">
        <x:v>Арматура</x:v>
      </x:c>
      <x:c r="N9" s="23" t="n">
        <x:v>6960</x:v>
      </x:c>
      <x:c r="O9" s="23" t="str">
        <x:v>Расхождения количества/итога/раскладки — RFI-L01. Исходные числа не исправлены.</x:v>
      </x:c>
    </x:row>
    <x:row r="10" ht="54" customHeight="1">
      <x:c r="A10" s="23" t="str">
        <x:v>S48_Фп-1_5</x:v>
      </x:c>
      <x:c r="B10" s="23" t="n">
        <x:v>48</x:v>
      </x:c>
      <x:c r="C10" s="23" t="n">
        <x:v>58</x:v>
      </x:c>
      <x:c r="D10" s="23" t="str">
        <x:v>Фп-1</x:v>
      </x:c>
      <x:c r="E10" s="23" t="str">
        <x:v>5</x:v>
      </x:c>
      <x:c r="F10" s="23" t="str">
        <x:v>∅12 А500С; L=3060 мм; ГОСТ 34028-2016</x:v>
      </x:c>
      <x:c r="G10" s="23" t="str">
        <x:v>шт</x:v>
      </x:c>
      <x:c r="H10" s="28" t="n">
        <x:v>22</x:v>
      </x:c>
      <x:c r="I10" s="28" t="n">
        <x:v>2.72</x:v>
      </x:c>
      <x:c r="J10" s="28" t="n">
        <x:v>70.72</x:v>
      </x:c>
      <x:c r="K10" s="26" t="n">
        <x:f>IF(I10="","",H10*I10)</x:f>
        <x:v>59.84</x:v>
      </x:c>
      <x:c r="L10" s="26" t="n">
        <x:f>IF(J10="","",K10-J10)</x:f>
        <x:v>-10.879999999999995</x:v>
      </x:c>
      <x:c r="M10" s="23" t="str">
        <x:v>Арматура</x:v>
      </x:c>
      <x:c r="N10" s="23" t="n">
        <x:v>3060</x:v>
      </x:c>
      <x:c r="O10" s="23" t="str">
        <x:v>Расхождения количества/итога/раскладки — RFI-L01. Исходные числа не исправлены.</x:v>
      </x:c>
    </x:row>
    <x:row r="11" ht="54" customHeight="1">
      <x:c r="A11" s="23" t="str">
        <x:v>S48_Фп-1_6</x:v>
      </x:c>
      <x:c r="B11" s="23" t="n">
        <x:v>48</x:v>
      </x:c>
      <x:c r="C11" s="23" t="n">
        <x:v>58</x:v>
      </x:c>
      <x:c r="D11" s="23" t="str">
        <x:v>Фп-1</x:v>
      </x:c>
      <x:c r="E11" s="23" t="str">
        <x:v>6</x:v>
      </x:c>
      <x:c r="F11" s="23" t="str">
        <x:v>∅12 А500С; L=7060 мм; ГОСТ 34028-2016</x:v>
      </x:c>
      <x:c r="G11" s="23" t="str">
        <x:v>шт</x:v>
      </x:c>
      <x:c r="H11" s="28" t="n">
        <x:v>16</x:v>
      </x:c>
      <x:c r="I11" s="28" t="n">
        <x:v>6.27</x:v>
      </x:c>
      <x:c r="J11" s="28" t="n">
        <x:v>119.3</x:v>
      </x:c>
      <x:c r="K11" s="26" t="n">
        <x:f>IF(I11="","",H11*I11)</x:f>
        <x:v>100.32</x:v>
      </x:c>
      <x:c r="L11" s="26" t="n">
        <x:f>IF(J11="","",K11-J11)</x:f>
        <x:v>-18.980000000000004</x:v>
      </x:c>
      <x:c r="M11" s="23" t="str">
        <x:v>Арматура</x:v>
      </x:c>
      <x:c r="N11" s="23" t="n">
        <x:v>7060</x:v>
      </x:c>
      <x:c r="O11" s="23" t="str">
        <x:v>Расхождения количества/итога/раскладки — RFI-L01. Исходные числа не исправлены.</x:v>
      </x:c>
    </x:row>
    <x:row r="12" ht="54" customHeight="1">
      <x:c r="A12" s="23" t="str">
        <x:v>S48_Фп-1_7</x:v>
      </x:c>
      <x:c r="B12" s="23" t="n">
        <x:v>48</x:v>
      </x:c>
      <x:c r="C12" s="23" t="n">
        <x:v>58</x:v>
      </x:c>
      <x:c r="D12" s="23" t="str">
        <x:v>Фп-1</x:v>
      </x:c>
      <x:c r="E12" s="23" t="str">
        <x:v>7</x:v>
      </x:c>
      <x:c r="F12" s="23" t="str">
        <x:v>∅12 А500С; L=2860 мм; ГОСТ 34028-2016</x:v>
      </x:c>
      <x:c r="G12" s="23" t="str">
        <x:v>шт</x:v>
      </x:c>
      <x:c r="H12" s="28" t="n">
        <x:v>20</x:v>
      </x:c>
      <x:c r="I12" s="28" t="n">
        <x:v>2.54</x:v>
      </x:c>
      <x:c r="J12" s="28" t="n">
        <x:v>60.96</x:v>
      </x:c>
      <x:c r="K12" s="26" t="n">
        <x:f>IF(I12="","",H12*I12)</x:f>
        <x:v>50.8</x:v>
      </x:c>
      <x:c r="L12" s="26" t="n">
        <x:f>IF(J12="","",K12-J12)</x:f>
        <x:v>-10.160000000000004</x:v>
      </x:c>
      <x:c r="M12" s="23" t="str">
        <x:v>Арматура</x:v>
      </x:c>
      <x:c r="N12" s="23" t="n">
        <x:v>2860</x:v>
      </x:c>
      <x:c r="O12" s="23" t="str">
        <x:v>Расхождения количества/итога/раскладки — RFI-L01. Исходные числа не исправлены.</x:v>
      </x:c>
    </x:row>
    <x:row r="13" ht="54" customHeight="1">
      <x:c r="A13" s="23" t="str">
        <x:v>S48_Фп-1_8</x:v>
      </x:c>
      <x:c r="B13" s="23" t="n">
        <x:v>48</x:v>
      </x:c>
      <x:c r="C13" s="23" t="n">
        <x:v>58</x:v>
      </x:c>
      <x:c r="D13" s="23" t="str">
        <x:v>Фп-1</x:v>
      </x:c>
      <x:c r="E13" s="23" t="str">
        <x:v>8</x:v>
      </x:c>
      <x:c r="F13" s="23" t="str">
        <x:v>∅12 А500С; L=6960 мм; ГОСТ 34028-2016</x:v>
      </x:c>
      <x:c r="G13" s="23" t="str">
        <x:v>шт</x:v>
      </x:c>
      <x:c r="H13" s="28" t="n">
        <x:v>15</x:v>
      </x:c>
      <x:c r="I13" s="28" t="n">
        <x:v>6.18</x:v>
      </x:c>
      <x:c r="J13" s="28" t="n">
        <x:v>92.7</x:v>
      </x:c>
      <x:c r="K13" s="26" t="n">
        <x:f>IF(I13="","",H13*I13)</x:f>
        <x:v>92.69999999999999</x:v>
      </x:c>
      <x:c r="L13" s="26" t="n">
        <x:f>IF(J13="","",K13-J13)</x:f>
        <x:v>-1.4210854715202004e-14</x:v>
      </x:c>
      <x:c r="M13" s="23" t="str">
        <x:v>Арматура</x:v>
      </x:c>
      <x:c r="N13" s="23" t="n">
        <x:v>6960</x:v>
      </x:c>
      <x:c r="O13" s="23" t="str">
        <x:v>Расхождения количества/итога/раскладки — RFI-L01. Исходные числа не исправлены.</x:v>
      </x:c>
    </x:row>
    <x:row r="14" ht="54" customHeight="1">
      <x:c r="A14" s="23" t="str">
        <x:v>S48_Фп-1_П-1</x:v>
      </x:c>
      <x:c r="B14" s="23" t="n">
        <x:v>48</x:v>
      </x:c>
      <x:c r="C14" s="23" t="n">
        <x:v>58</x:v>
      </x:c>
      <x:c r="D14" s="23" t="str">
        <x:v>Фп-1</x:v>
      </x:c>
      <x:c r="E14" s="23" t="str">
        <x:v>П-1</x:v>
      </x:c>
      <x:c r="F14" s="23" t="str">
        <x:v>∅12 А500С; L=1400 мм; ГОСТ 34028-2016</x:v>
      </x:c>
      <x:c r="G14" s="23" t="str">
        <x:v>шт</x:v>
      </x:c>
      <x:c r="H14" s="28" t="n">
        <x:v>141</x:v>
      </x:c>
      <x:c r="I14" s="28" t="n">
        <x:v>1.24</x:v>
      </x:c>
      <x:c r="J14" s="28" t="n">
        <x:v>111.24</x:v>
      </x:c>
      <x:c r="K14" s="26" t="n">
        <x:f>IF(I14="","",H14*I14)</x:f>
        <x:v>174.84</x:v>
      </x:c>
      <x:c r="L14" s="26" t="n">
        <x:f>IF(J14="","",K14-J14)</x:f>
        <x:v>63.60000000000001</x:v>
      </x:c>
      <x:c r="M14" s="23" t="str">
        <x:v>Арматура</x:v>
      </x:c>
      <x:c r="N14" s="23" t="n">
        <x:v>1400</x:v>
      </x:c>
      <x:c r="O14" s="23" t="str">
        <x:v>RFI-L01: итог в РД не равен количеству × массе.</x:v>
      </x:c>
    </x:row>
    <x:row r="15" ht="54" customHeight="1">
      <x:c r="A15" s="23" t="str">
        <x:v>S48_Фп-1_Ф-1</x:v>
      </x:c>
      <x:c r="B15" s="23" t="n">
        <x:v>48</x:v>
      </x:c>
      <x:c r="C15" s="23" t="n">
        <x:v>58</x:v>
      </x:c>
      <x:c r="D15" s="23" t="str">
        <x:v>Фп-1</x:v>
      </x:c>
      <x:c r="E15" s="23" t="str">
        <x:v>Ф-1</x:v>
      </x:c>
      <x:c r="F15" s="23" t="str">
        <x:v>∅10 А240; L=1130 мм; ГОСТ 34028-2016</x:v>
      </x:c>
      <x:c r="G15" s="23" t="str">
        <x:v>шт</x:v>
      </x:c>
      <x:c r="H15" s="28" t="n">
        <x:v>52</x:v>
      </x:c>
      <x:c r="I15" s="28" t="n">
        <x:v>0.7</x:v>
      </x:c>
      <x:c r="J15" s="28" t="n">
        <x:v>43.4</x:v>
      </x:c>
      <x:c r="K15" s="26" t="n">
        <x:f>IF(I15="","",H15*I15)</x:f>
        <x:v>36.4</x:v>
      </x:c>
      <x:c r="L15" s="26" t="n">
        <x:f>IF(J15="","",K15-J15)</x:f>
        <x:v>-7</x:v>
      </x:c>
      <x:c r="M15" s="23" t="str">
        <x:v>Арматура</x:v>
      </x:c>
      <x:c r="N15" s="23" t="n">
        <x:v>1130</x:v>
      </x:c>
      <x:c r="O15" s="23" t="str">
        <x:v>RFI-L01</x:v>
      </x:c>
    </x:row>
    <x:row r="16" ht="54" customHeight="1">
      <x:c r="A16" s="23" t="str">
        <x:v>S48_Фп-1_В-1</x:v>
      </x:c>
      <x:c r="B16" s="23" t="n">
        <x:v>48</x:v>
      </x:c>
      <x:c r="C16" s="23" t="n">
        <x:v>58</x:v>
      </x:c>
      <x:c r="D16" s="23" t="str">
        <x:v>Фп-1</x:v>
      </x:c>
      <x:c r="E16" s="23" t="str">
        <x:v>В-1</x:v>
      </x:c>
      <x:c r="F16" s="23" t="str">
        <x:v>∅12 А500С; L=2430 мм; ГОСТ 34028-2016</x:v>
      </x:c>
      <x:c r="G16" s="23" t="str">
        <x:v>шт</x:v>
      </x:c>
      <x:c r="H16" s="28" t="n">
        <x:v>134</x:v>
      </x:c>
      <x:c r="I16" s="28" t="n">
        <x:v>2.16</x:v>
      </x:c>
      <x:c r="J16" s="28" t="n">
        <x:v>345.6</x:v>
      </x:c>
      <x:c r="K16" s="26" t="n">
        <x:f>IF(I16="","",H16*I16)</x:f>
        <x:v>289.44</x:v>
      </x:c>
      <x:c r="L16" s="26" t="n">
        <x:f>IF(J16="","",K16-J16)</x:f>
        <x:v>-56.160000000000025</x:v>
      </x:c>
      <x:c r="M16" s="23" t="str">
        <x:v>Арматура</x:v>
      </x:c>
      <x:c r="N16" s="23" t="n">
        <x:v>2430</x:v>
      </x:c>
      <x:c r="O16" s="23" t="str">
        <x:v>Выпуски учтены здесь один раз, не повторяются в стенах.</x:v>
      </x:c>
    </x:row>
    <x:row r="17" ht="54" customHeight="1">
      <x:c r="A17" s="23" t="str">
        <x:v>S48_Фп-1_Бетон</x:v>
      </x:c>
      <x:c r="B17" s="23" t="n">
        <x:v>48</x:v>
      </x:c>
      <x:c r="C17" s="23" t="n">
        <x:v>58</x:v>
      </x:c>
      <x:c r="D17" s="23" t="str">
        <x:v>Фп-1</x:v>
      </x:c>
      <x:c r="E17" s="23" t="str">
        <x:v>Бетон</x:v>
      </x:c>
      <x:c r="F17" s="23" t="str">
        <x:v>Тяжёлый бетон В25 F150 W6; ГОСТ 26633-2015</x:v>
      </x:c>
      <x:c r="G17" s="23" t="str">
        <x:v>м³</x:v>
      </x:c>
      <x:c r="H17" s="28" t="n">
        <x:v>12</x:v>
      </x:c>
      <x:c r="I17" s="28"/>
      <x:c r="J17" s="28"/>
      <x:c r="K17" s="26" t="str">
        <x:f>IF(I17="","",H17*I17)</x:f>
      </x:c>
      <x:c r="L17" s="26" t="str">
        <x:f>IF(J17="","",K17-J17)</x:f>
      </x:c>
      <x:c r="M17" s="23" t="str">
        <x:v>Бетон В25</x:v>
      </x:c>
      <x:c r="N17" s="23"/>
      <x:c r="O17" s="23" t="str">
        <x:v>РД: 12 м³; контроль геометрии вынесен отдельно. Не подогнано.</x:v>
      </x:c>
    </x:row>
    <x:row r="18" ht="54" customHeight="1">
      <x:c r="A18" s="23" t="str">
        <x:v>S48_Фп-1_Подготовка</x:v>
      </x:c>
      <x:c r="B18" s="23" t="n">
        <x:v>48</x:v>
      </x:c>
      <x:c r="C18" s="23" t="n">
        <x:v>58</x:v>
      </x:c>
      <x:c r="D18" s="23" t="str">
        <x:v>Фп-1</x:v>
      </x:c>
      <x:c r="E18" s="23" t="str">
        <x:v>Подготовка</x:v>
      </x:c>
      <x:c r="F18" s="23" t="str">
        <x:v>Тяжёлый бетон В7,5; ГОСТ 26633-2015</x:v>
      </x:c>
      <x:c r="G18" s="23" t="str">
        <x:v>м³</x:v>
      </x:c>
      <x:c r="H18" s="28" t="n">
        <x:v>4.3</x:v>
      </x:c>
      <x:c r="I18" s="28"/>
      <x:c r="J18" s="28"/>
      <x:c r="K18" s="26" t="str">
        <x:f>IF(I18="","",H18*I18)</x:f>
      </x:c>
      <x:c r="L18" s="26" t="str">
        <x:f>IF(J18="","",K18-J18)</x:f>
      </x:c>
      <x:c r="M18" s="23" t="str">
        <x:v>Бетон В7,5</x:v>
      </x:c>
      <x:c r="N18" s="23"/>
      <x:c r="O18" s="23" t="str">
        <x:v>Подготовка. РД: 4,3 м³; контроль площади отдельно.</x:v>
      </x:c>
    </x:row>
    <x:row r="19" ht="54" customHeight="1">
      <x:c r="A19" s="23" t="str">
        <x:v>S50_С-1-1_1</x:v>
      </x:c>
      <x:c r="B19" s="23" t="n">
        <x:v>50</x:v>
      </x:c>
      <x:c r="C19" s="23" t="n">
        <x:v>60</x:v>
      </x:c>
      <x:c r="D19" s="23" t="str">
        <x:v>С-1-1</x:v>
      </x:c>
      <x:c r="E19" s="23" t="str">
        <x:v>1</x:v>
      </x:c>
      <x:c r="F19" s="23" t="str">
        <x:v>∅12 А500С; L=3050 мм; ГОСТ 34028-2016</x:v>
      </x:c>
      <x:c r="G19" s="23" t="str">
        <x:v>шт</x:v>
      </x:c>
      <x:c r="H19" s="28" t="n">
        <x:v>12</x:v>
      </x:c>
      <x:c r="I19" s="28" t="n">
        <x:v>2.71</x:v>
      </x:c>
      <x:c r="J19" s="28" t="n">
        <x:v>32.52</x:v>
      </x:c>
      <x:c r="K19" s="26" t="n">
        <x:f>IF(I19="","",H19*I19)</x:f>
        <x:v>32.519999999999996</x:v>
      </x:c>
      <x:c r="L19" s="26" t="n">
        <x:f>IF(J19="","",K19-J19)</x:f>
        <x:v>-7.105427357601002e-15</x:v>
      </x:c>
      <x:c r="M19" s="23" t="str">
        <x:v>Арматура</x:v>
      </x:c>
      <x:c r="N19" s="23" t="n">
        <x:v>3050</x:v>
      </x:c>
      <x:c r="O19" s="23" t="str"/>
    </x:row>
    <x:row r="20" ht="54" customHeight="1">
      <x:c r="A20" s="23" t="str">
        <x:v>S50_С-1-1_2</x:v>
      </x:c>
      <x:c r="B20" s="23" t="n">
        <x:v>50</x:v>
      </x:c>
      <x:c r="C20" s="23" t="n">
        <x:v>60</x:v>
      </x:c>
      <x:c r="D20" s="23" t="str">
        <x:v>С-1-1</x:v>
      </x:c>
      <x:c r="E20" s="23" t="str">
        <x:v>2</x:v>
      </x:c>
      <x:c r="F20" s="23" t="str">
        <x:v>∅12 А500С; L=1750 мм; ГОСТ 34028-2016</x:v>
      </x:c>
      <x:c r="G20" s="23" t="str">
        <x:v>шт</x:v>
      </x:c>
      <x:c r="H20" s="28" t="n">
        <x:v>14</x:v>
      </x:c>
      <x:c r="I20" s="28" t="n">
        <x:v>1.55</x:v>
      </x:c>
      <x:c r="J20" s="28" t="n">
        <x:v>21.7</x:v>
      </x:c>
      <x:c r="K20" s="26" t="n">
        <x:f>IF(I20="","",H20*I20)</x:f>
        <x:v>21.7</x:v>
      </x:c>
      <x:c r="L20" s="26" t="n">
        <x:f>IF(J20="","",K20-J20)</x:f>
        <x:v>0</x:v>
      </x:c>
      <x:c r="M20" s="23" t="str">
        <x:v>Арматура</x:v>
      </x:c>
      <x:c r="N20" s="23" t="n">
        <x:v>1750</x:v>
      </x:c>
      <x:c r="O20" s="23" t="str"/>
    </x:row>
    <x:row r="21" ht="54" customHeight="1">
      <x:c r="A21" s="23" t="str">
        <x:v>S50_С-1-1_П-2</x:v>
      </x:c>
      <x:c r="B21" s="23" t="n">
        <x:v>50</x:v>
      </x:c>
      <x:c r="C21" s="23" t="n">
        <x:v>60</x:v>
      </x:c>
      <x:c r="D21" s="23" t="str">
        <x:v>С-1-1</x:v>
      </x:c>
      <x:c r="E21" s="23" t="str">
        <x:v>П-2</x:v>
      </x:c>
      <x:c r="F21" s="23" t="str">
        <x:v>∅12 А500С; L=1160 мм; ГОСТ 34028-2016</x:v>
      </x:c>
      <x:c r="G21" s="23" t="str">
        <x:v>шт</x:v>
      </x:c>
      <x:c r="H21" s="28" t="n">
        <x:v>25</x:v>
      </x:c>
      <x:c r="I21" s="28" t="n">
        <x:v>1.03</x:v>
      </x:c>
      <x:c r="J21" s="28" t="n">
        <x:v>25.75</x:v>
      </x:c>
      <x:c r="K21" s="26" t="n">
        <x:f>IF(I21="","",H21*I21)</x:f>
        <x:v>25.75</x:v>
      </x:c>
      <x:c r="L21" s="26" t="n">
        <x:f>IF(J21="","",K21-J21)</x:f>
        <x:v>0</x:v>
      </x:c>
      <x:c r="M21" s="23" t="str">
        <x:v>Арматура</x:v>
      </x:c>
      <x:c r="N21" s="23" t="n">
        <x:v>1160</x:v>
      </x:c>
      <x:c r="O21" s="23" t="str"/>
    </x:row>
    <x:row r="22" ht="54" customHeight="1">
      <x:c r="A22" s="23" t="str">
        <x:v>S50_С-1-1_П-3</x:v>
      </x:c>
      <x:c r="B22" s="23" t="n">
        <x:v>50</x:v>
      </x:c>
      <x:c r="C22" s="23" t="n">
        <x:v>60</x:v>
      </x:c>
      <x:c r="D22" s="23" t="str">
        <x:v>С-1-1</x:v>
      </x:c>
      <x:c r="E22" s="23" t="str">
        <x:v>П-3</x:v>
      </x:c>
      <x:c r="F22" s="23" t="str">
        <x:v>∅12 А500С; L=1140 мм; ГОСТ 34028-2016</x:v>
      </x:c>
      <x:c r="G22" s="23" t="str">
        <x:v>шт</x:v>
      </x:c>
      <x:c r="H22" s="28" t="n">
        <x:v>11</x:v>
      </x:c>
      <x:c r="I22" s="28" t="n">
        <x:v>1.01</x:v>
      </x:c>
      <x:c r="J22" s="28" t="n">
        <x:v>11.11</x:v>
      </x:c>
      <x:c r="K22" s="26" t="n">
        <x:f>IF(I22="","",H22*I22)</x:f>
        <x:v>11.11</x:v>
      </x:c>
      <x:c r="L22" s="26" t="n">
        <x:f>IF(J22="","",K22-J22)</x:f>
        <x:v>0</x:v>
      </x:c>
      <x:c r="M22" s="23" t="str">
        <x:v>Арматура</x:v>
      </x:c>
      <x:c r="N22" s="23" t="n">
        <x:v>1140</x:v>
      </x:c>
      <x:c r="O22" s="23" t="str"/>
    </x:row>
    <x:row r="23" ht="54" customHeight="1">
      <x:c r="A23" s="23" t="str">
        <x:v>S50_С-1-1_Ш-1</x:v>
      </x:c>
      <x:c r="B23" s="23" t="n">
        <x:v>50</x:v>
      </x:c>
      <x:c r="C23" s="23" t="n">
        <x:v>60</x:v>
      </x:c>
      <x:c r="D23" s="23" t="str">
        <x:v>С-1-1</x:v>
      </x:c>
      <x:c r="E23" s="23" t="str">
        <x:v>Ш-1</x:v>
      </x:c>
      <x:c r="F23" s="23" t="str">
        <x:v>∅10 А240; L=290 мм; ГОСТ 34028-2016</x:v>
      </x:c>
      <x:c r="G23" s="23" t="str">
        <x:v>шт</x:v>
      </x:c>
      <x:c r="H23" s="28" t="n">
        <x:v>34</x:v>
      </x:c>
      <x:c r="I23" s="28" t="n">
        <x:v>0.18</x:v>
      </x:c>
      <x:c r="J23" s="28" t="n">
        <x:v>6.12</x:v>
      </x:c>
      <x:c r="K23" s="26" t="n">
        <x:f>IF(I23="","",H23*I23)</x:f>
        <x:v>6.12</x:v>
      </x:c>
      <x:c r="L23" s="26" t="n">
        <x:f>IF(J23="","",K23-J23)</x:f>
        <x:v>0</x:v>
      </x:c>
      <x:c r="M23" s="23" t="str">
        <x:v>Арматура</x:v>
      </x:c>
      <x:c r="N23" s="23" t="n">
        <x:v>290</x:v>
      </x:c>
      <x:c r="O23" s="23" t="str"/>
    </x:row>
    <x:row r="24" ht="54" customHeight="1">
      <x:c r="A24" s="23" t="str">
        <x:v>S50_С-1-1_Х-1</x:v>
      </x:c>
      <x:c r="B24" s="23" t="n">
        <x:v>50</x:v>
      </x:c>
      <x:c r="C24" s="23" t="n">
        <x:v>60</x:v>
      </x:c>
      <x:c r="D24" s="23" t="str">
        <x:v>С-1-1</x:v>
      </x:c>
      <x:c r="E24" s="23" t="str">
        <x:v>Х-1</x:v>
      </x:c>
      <x:c r="F24" s="23" t="str">
        <x:v>∅12 А500С; L=1930 мм; ГОСТ 34028-2016</x:v>
      </x:c>
      <x:c r="G24" s="23" t="str">
        <x:v>шт</x:v>
      </x:c>
      <x:c r="H24" s="28" t="n">
        <x:v>6</x:v>
      </x:c>
      <x:c r="I24" s="28" t="n">
        <x:v>1.71</x:v>
      </x:c>
      <x:c r="J24" s="28" t="n">
        <x:v>10.26</x:v>
      </x:c>
      <x:c r="K24" s="26" t="n">
        <x:f>IF(I24="","",H24*I24)</x:f>
        <x:v>10.26</x:v>
      </x:c>
      <x:c r="L24" s="26" t="n">
        <x:f>IF(J24="","",K24-J24)</x:f>
        <x:v>0</x:v>
      </x:c>
      <x:c r="M24" s="23" t="str">
        <x:v>Арматура</x:v>
      </x:c>
      <x:c r="N24" s="23" t="n">
        <x:v>1930</x:v>
      </x:c>
      <x:c r="O24" s="23" t="str"/>
    </x:row>
    <x:row r="25" ht="54" customHeight="1">
      <x:c r="A25" s="23" t="str">
        <x:v>S50_С-1-1_Бетон</x:v>
      </x:c>
      <x:c r="B25" s="23" t="n">
        <x:v>50</x:v>
      </x:c>
      <x:c r="C25" s="23" t="n">
        <x:v>60</x:v>
      </x:c>
      <x:c r="D25" s="23" t="str">
        <x:v>С-1-1</x:v>
      </x:c>
      <x:c r="E25" s="23" t="str">
        <x:v>Бетон</x:v>
      </x:c>
      <x:c r="F25" s="23" t="str">
        <x:v>Тяжёлый бетон В25 F75 W6; ГОСТ 26633-2015</x:v>
      </x:c>
      <x:c r="G25" s="23" t="str">
        <x:v>м³</x:v>
      </x:c>
      <x:c r="H25" s="28" t="n">
        <x:v>1.3</x:v>
      </x:c>
      <x:c r="I25" s="28"/>
      <x:c r="J25" s="28"/>
      <x:c r="K25" s="26" t="str">
        <x:f>IF(I25="","",H25*I25)</x:f>
      </x:c>
      <x:c r="L25" s="26" t="str">
        <x:f>IF(J25="","",K25-J25)</x:f>
      </x:c>
      <x:c r="M25" s="23" t="str">
        <x:v>Бетон В25</x:v>
      </x:c>
      <x:c r="N25" s="23"/>
      <x:c r="O25" s="23" t="str">
        <x:v>F75 сохранено по таблице, отличается от общих указаний F150.</x:v>
      </x:c>
    </x:row>
    <x:row r="26" ht="54" customHeight="1">
      <x:c r="A26" s="23" t="str">
        <x:v>S52_С-1-3_1</x:v>
      </x:c>
      <x:c r="B26" s="23" t="n">
        <x:v>52</x:v>
      </x:c>
      <x:c r="C26" s="23" t="n">
        <x:v>62</x:v>
      </x:c>
      <x:c r="D26" s="23" t="str">
        <x:v>С-1-3</x:v>
      </x:c>
      <x:c r="E26" s="23" t="str">
        <x:v>1</x:v>
      </x:c>
      <x:c r="F26" s="23" t="str">
        <x:v>∅12 А500С; L=3050 мм; ГОСТ 34028-2016</x:v>
      </x:c>
      <x:c r="G26" s="23" t="str">
        <x:v>шт</x:v>
      </x:c>
      <x:c r="H26" s="28" t="n">
        <x:v>12</x:v>
      </x:c>
      <x:c r="I26" s="28" t="n">
        <x:v>2.71</x:v>
      </x:c>
      <x:c r="J26" s="28" t="n">
        <x:v>32.52</x:v>
      </x:c>
      <x:c r="K26" s="26" t="n">
        <x:f>IF(I26="","",H26*I26)</x:f>
        <x:v>32.519999999999996</x:v>
      </x:c>
      <x:c r="L26" s="26" t="n">
        <x:f>IF(J26="","",K26-J26)</x:f>
        <x:v>-7.105427357601002e-15</x:v>
      </x:c>
      <x:c r="M26" s="23" t="str">
        <x:v>Арматура</x:v>
      </x:c>
      <x:c r="N26" s="23" t="n">
        <x:v>3050</x:v>
      </x:c>
      <x:c r="O26" s="23" t="str"/>
    </x:row>
    <x:row r="27" ht="54" customHeight="1">
      <x:c r="A27" s="23" t="str">
        <x:v>S52_С-1-3_2</x:v>
      </x:c>
      <x:c r="B27" s="23" t="n">
        <x:v>52</x:v>
      </x:c>
      <x:c r="C27" s="23" t="n">
        <x:v>62</x:v>
      </x:c>
      <x:c r="D27" s="23" t="str">
        <x:v>С-1-3</x:v>
      </x:c>
      <x:c r="E27" s="23" t="str">
        <x:v>2</x:v>
      </x:c>
      <x:c r="F27" s="23" t="str">
        <x:v>∅12 А500С; L=1750 мм; ГОСТ 34028-2016</x:v>
      </x:c>
      <x:c r="G27" s="23" t="str">
        <x:v>шт</x:v>
      </x:c>
      <x:c r="H27" s="28" t="n">
        <x:v>14</x:v>
      </x:c>
      <x:c r="I27" s="28" t="n">
        <x:v>1.55</x:v>
      </x:c>
      <x:c r="J27" s="28" t="n">
        <x:v>21.7</x:v>
      </x:c>
      <x:c r="K27" s="26" t="n">
        <x:f>IF(I27="","",H27*I27)</x:f>
        <x:v>21.7</x:v>
      </x:c>
      <x:c r="L27" s="26" t="n">
        <x:f>IF(J27="","",K27-J27)</x:f>
        <x:v>0</x:v>
      </x:c>
      <x:c r="M27" s="23" t="str">
        <x:v>Арматура</x:v>
      </x:c>
      <x:c r="N27" s="23" t="n">
        <x:v>1750</x:v>
      </x:c>
      <x:c r="O27" s="23" t="str"/>
    </x:row>
    <x:row r="28" ht="54" customHeight="1">
      <x:c r="A28" s="23" t="str">
        <x:v>S52_С-1-3_П-2</x:v>
      </x:c>
      <x:c r="B28" s="23" t="n">
        <x:v>52</x:v>
      </x:c>
      <x:c r="C28" s="23" t="n">
        <x:v>62</x:v>
      </x:c>
      <x:c r="D28" s="23" t="str">
        <x:v>С-1-3</x:v>
      </x:c>
      <x:c r="E28" s="23" t="str">
        <x:v>П-2</x:v>
      </x:c>
      <x:c r="F28" s="23" t="str">
        <x:v>∅12 А500С; L=1160 мм; ГОСТ 34028-2016</x:v>
      </x:c>
      <x:c r="G28" s="23" t="str">
        <x:v>шт</x:v>
      </x:c>
      <x:c r="H28" s="28" t="n">
        <x:v>25</x:v>
      </x:c>
      <x:c r="I28" s="28" t="n">
        <x:v>1.03</x:v>
      </x:c>
      <x:c r="J28" s="28" t="n">
        <x:v>25.75</x:v>
      </x:c>
      <x:c r="K28" s="26" t="n">
        <x:f>IF(I28="","",H28*I28)</x:f>
        <x:v>25.75</x:v>
      </x:c>
      <x:c r="L28" s="26" t="n">
        <x:f>IF(J28="","",K28-J28)</x:f>
        <x:v>0</x:v>
      </x:c>
      <x:c r="M28" s="23" t="str">
        <x:v>Арматура</x:v>
      </x:c>
      <x:c r="N28" s="23" t="n">
        <x:v>1160</x:v>
      </x:c>
      <x:c r="O28" s="23" t="str"/>
    </x:row>
    <x:row r="29" ht="54" customHeight="1">
      <x:c r="A29" s="23" t="str">
        <x:v>S52_С-1-3_П-3</x:v>
      </x:c>
      <x:c r="B29" s="23" t="n">
        <x:v>52</x:v>
      </x:c>
      <x:c r="C29" s="23" t="n">
        <x:v>62</x:v>
      </x:c>
      <x:c r="D29" s="23" t="str">
        <x:v>С-1-3</x:v>
      </x:c>
      <x:c r="E29" s="23" t="str">
        <x:v>П-3</x:v>
      </x:c>
      <x:c r="F29" s="23" t="str">
        <x:v>∅12 А500С; L=1140 мм; ГОСТ 34028-2016</x:v>
      </x:c>
      <x:c r="G29" s="23" t="str">
        <x:v>шт</x:v>
      </x:c>
      <x:c r="H29" s="28" t="n">
        <x:v>11</x:v>
      </x:c>
      <x:c r="I29" s="28" t="n">
        <x:v>1.01</x:v>
      </x:c>
      <x:c r="J29" s="28" t="n">
        <x:v>11.11</x:v>
      </x:c>
      <x:c r="K29" s="26" t="n">
        <x:f>IF(I29="","",H29*I29)</x:f>
        <x:v>11.11</x:v>
      </x:c>
      <x:c r="L29" s="26" t="n">
        <x:f>IF(J29="","",K29-J29)</x:f>
        <x:v>0</x:v>
      </x:c>
      <x:c r="M29" s="23" t="str">
        <x:v>Арматура</x:v>
      </x:c>
      <x:c r="N29" s="23" t="n">
        <x:v>1140</x:v>
      </x:c>
      <x:c r="O29" s="23" t="str"/>
    </x:row>
    <x:row r="30" ht="54" customHeight="1">
      <x:c r="A30" s="23" t="str">
        <x:v>S52_С-1-3_Ш-1</x:v>
      </x:c>
      <x:c r="B30" s="23" t="n">
        <x:v>52</x:v>
      </x:c>
      <x:c r="C30" s="23" t="n">
        <x:v>62</x:v>
      </x:c>
      <x:c r="D30" s="23" t="str">
        <x:v>С-1-3</x:v>
      </x:c>
      <x:c r="E30" s="23" t="str">
        <x:v>Ш-1</x:v>
      </x:c>
      <x:c r="F30" s="23" t="str">
        <x:v>∅10 А240; L=290 мм; ГОСТ 34028-2016</x:v>
      </x:c>
      <x:c r="G30" s="23" t="str">
        <x:v>шт</x:v>
      </x:c>
      <x:c r="H30" s="28" t="n">
        <x:v>34</x:v>
      </x:c>
      <x:c r="I30" s="28" t="n">
        <x:v>0.18</x:v>
      </x:c>
      <x:c r="J30" s="28" t="n">
        <x:v>6.12</x:v>
      </x:c>
      <x:c r="K30" s="26" t="n">
        <x:f>IF(I30="","",H30*I30)</x:f>
        <x:v>6.12</x:v>
      </x:c>
      <x:c r="L30" s="26" t="n">
        <x:f>IF(J30="","",K30-J30)</x:f>
        <x:v>0</x:v>
      </x:c>
      <x:c r="M30" s="23" t="str">
        <x:v>Арматура</x:v>
      </x:c>
      <x:c r="N30" s="23" t="n">
        <x:v>290</x:v>
      </x:c>
      <x:c r="O30" s="23" t="str"/>
    </x:row>
    <x:row r="31" ht="54" customHeight="1">
      <x:c r="A31" s="23" t="str">
        <x:v>S52_С-1-3_Х-1</x:v>
      </x:c>
      <x:c r="B31" s="23" t="n">
        <x:v>52</x:v>
      </x:c>
      <x:c r="C31" s="23" t="n">
        <x:v>62</x:v>
      </x:c>
      <x:c r="D31" s="23" t="str">
        <x:v>С-1-3</x:v>
      </x:c>
      <x:c r="E31" s="23" t="str">
        <x:v>Х-1</x:v>
      </x:c>
      <x:c r="F31" s="23" t="str">
        <x:v>∅12 А500С; L=1930 мм; ГОСТ 34028-2016</x:v>
      </x:c>
      <x:c r="G31" s="23" t="str">
        <x:v>шт</x:v>
      </x:c>
      <x:c r="H31" s="28" t="n">
        <x:v>6</x:v>
      </x:c>
      <x:c r="I31" s="28" t="n">
        <x:v>1.71</x:v>
      </x:c>
      <x:c r="J31" s="28" t="n">
        <x:v>10.26</x:v>
      </x:c>
      <x:c r="K31" s="26" t="n">
        <x:f>IF(I31="","",H31*I31)</x:f>
        <x:v>10.26</x:v>
      </x:c>
      <x:c r="L31" s="26" t="n">
        <x:f>IF(J31="","",K31-J31)</x:f>
        <x:v>0</x:v>
      </x:c>
      <x:c r="M31" s="23" t="str">
        <x:v>Арматура</x:v>
      </x:c>
      <x:c r="N31" s="23" t="n">
        <x:v>1930</x:v>
      </x:c>
      <x:c r="O31" s="23" t="str"/>
    </x:row>
    <x:row r="32" ht="54" customHeight="1">
      <x:c r="A32" s="23" t="str">
        <x:v>S52_С-1-3_Бетон</x:v>
      </x:c>
      <x:c r="B32" s="23" t="n">
        <x:v>52</x:v>
      </x:c>
      <x:c r="C32" s="23" t="n">
        <x:v>62</x:v>
      </x:c>
      <x:c r="D32" s="23" t="str">
        <x:v>С-1-3</x:v>
      </x:c>
      <x:c r="E32" s="23" t="str">
        <x:v>Бетон</x:v>
      </x:c>
      <x:c r="F32" s="23" t="str">
        <x:v>Тяжёлый бетон В25 F75 W6; ГОСТ 26633-2015</x:v>
      </x:c>
      <x:c r="G32" s="23" t="str">
        <x:v>м³</x:v>
      </x:c>
      <x:c r="H32" s="28" t="n">
        <x:v>1.3</x:v>
      </x:c>
      <x:c r="I32" s="28"/>
      <x:c r="J32" s="28"/>
      <x:c r="K32" s="26" t="str">
        <x:f>IF(I32="","",H32*I32)</x:f>
      </x:c>
      <x:c r="L32" s="26" t="str">
        <x:f>IF(J32="","",K32-J32)</x:f>
      </x:c>
      <x:c r="M32" s="23" t="str">
        <x:v>Бетон В25</x:v>
      </x:c>
      <x:c r="N32" s="23"/>
      <x:c r="O32" s="23" t="str">
        <x:v>F75 сохранено по таблице, отличается от общих указаний F150.</x:v>
      </x:c>
    </x:row>
    <x:row r="33" ht="54" customHeight="1">
      <x:c r="A33" s="23" t="str">
        <x:v>S51_С-1-2_1</x:v>
      </x:c>
      <x:c r="B33" s="23" t="n">
        <x:v>51</x:v>
      </x:c>
      <x:c r="C33" s="23" t="n">
        <x:v>61</x:v>
      </x:c>
      <x:c r="D33" s="23" t="str">
        <x:v>С-1-2</x:v>
      </x:c>
      <x:c r="E33" s="23" t="str">
        <x:v>1</x:v>
      </x:c>
      <x:c r="F33" s="23" t="str">
        <x:v>∅12 А500С; L=6440 мм; ГОСТ 34028-2016</x:v>
      </x:c>
      <x:c r="G33" s="23" t="str">
        <x:v>шт</x:v>
      </x:c>
      <x:c r="H33" s="28" t="n">
        <x:v>24</x:v>
      </x:c>
      <x:c r="I33" s="28" t="n">
        <x:v>5.72</x:v>
      </x:c>
      <x:c r="J33" s="28" t="n">
        <x:v>137.28</x:v>
      </x:c>
      <x:c r="K33" s="26" t="n">
        <x:f>IF(I33="","",H33*I33)</x:f>
        <x:v>137.28</x:v>
      </x:c>
      <x:c r="L33" s="26" t="n">
        <x:f>IF(J33="","",K33-J33)</x:f>
        <x:v>0</x:v>
      </x:c>
      <x:c r="M33" s="23" t="str">
        <x:v>Арматура</x:v>
      </x:c>
      <x:c r="N33" s="23" t="n">
        <x:v>6440</x:v>
      </x:c>
      <x:c r="O33" s="23" t="str"/>
    </x:row>
    <x:row r="34" ht="54" customHeight="1">
      <x:c r="A34" s="23" t="str">
        <x:v>S51_С-1-2_2</x:v>
      </x:c>
      <x:c r="B34" s="23" t="n">
        <x:v>51</x:v>
      </x:c>
      <x:c r="C34" s="23" t="n">
        <x:v>61</x:v>
      </x:c>
      <x:c r="D34" s="23" t="str">
        <x:v>С-1-2</x:v>
      </x:c>
      <x:c r="E34" s="23" t="str">
        <x:v>2</x:v>
      </x:c>
      <x:c r="F34" s="23" t="str">
        <x:v>∅12 А500С; L=1200 мм; ГОСТ 34028-2016</x:v>
      </x:c>
      <x:c r="G34" s="23" t="str">
        <x:v>шт</x:v>
      </x:c>
      <x:c r="H34" s="28" t="n">
        <x:v>19</x:v>
      </x:c>
      <x:c r="I34" s="28" t="n">
        <x:v>1.07</x:v>
      </x:c>
      <x:c r="J34" s="28" t="n">
        <x:v>20.33</x:v>
      </x:c>
      <x:c r="K34" s="26" t="n">
        <x:f>IF(I34="","",H34*I34)</x:f>
        <x:v>20.330000000000002</x:v>
      </x:c>
      <x:c r="L34" s="26" t="n">
        <x:f>IF(J34="","",K34-J34)</x:f>
        <x:v>3.552713678800501e-15</x:v>
      </x:c>
      <x:c r="M34" s="23" t="str">
        <x:v>Арматура</x:v>
      </x:c>
      <x:c r="N34" s="23" t="n">
        <x:v>1200</x:v>
      </x:c>
      <x:c r="O34" s="23" t="str"/>
    </x:row>
    <x:row r="35" ht="54" customHeight="1">
      <x:c r="A35" s="23" t="str">
        <x:v>S51_С-1-2_П-2</x:v>
      </x:c>
      <x:c r="B35" s="23" t="n">
        <x:v>51</x:v>
      </x:c>
      <x:c r="C35" s="23" t="n">
        <x:v>61</x:v>
      </x:c>
      <x:c r="D35" s="23" t="str">
        <x:v>С-1-2</x:v>
      </x:c>
      <x:c r="E35" s="23" t="str">
        <x:v>П-2</x:v>
      </x:c>
      <x:c r="F35" s="23" t="str">
        <x:v>∅12 А500С; L=1160 мм; ГОСТ 34028-2016</x:v>
      </x:c>
      <x:c r="G35" s="23" t="str">
        <x:v>шт</x:v>
      </x:c>
      <x:c r="H35" s="28" t="n">
        <x:v>24</x:v>
      </x:c>
      <x:c r="I35" s="28" t="n">
        <x:v>1.03</x:v>
      </x:c>
      <x:c r="J35" s="28" t="n">
        <x:v>24.72</x:v>
      </x:c>
      <x:c r="K35" s="26" t="n">
        <x:f>IF(I35="","",H35*I35)</x:f>
        <x:v>24.72</x:v>
      </x:c>
      <x:c r="L35" s="26" t="n">
        <x:f>IF(J35="","",K35-J35)</x:f>
        <x:v>0</x:v>
      </x:c>
      <x:c r="M35" s="23" t="str">
        <x:v>Арматура</x:v>
      </x:c>
      <x:c r="N35" s="23" t="n">
        <x:v>1160</x:v>
      </x:c>
      <x:c r="O35" s="23" t="str"/>
    </x:row>
    <x:row r="36" ht="54" customHeight="1">
      <x:c r="A36" s="23" t="str">
        <x:v>S51_С-1-2_П-3</x:v>
      </x:c>
      <x:c r="B36" s="23" t="n">
        <x:v>51</x:v>
      </x:c>
      <x:c r="C36" s="23" t="n">
        <x:v>61</x:v>
      </x:c>
      <x:c r="D36" s="23" t="str">
        <x:v>С-1-2</x:v>
      </x:c>
      <x:c r="E36" s="23" t="str">
        <x:v>П-3</x:v>
      </x:c>
      <x:c r="F36" s="23" t="str">
        <x:v>∅12 А500С; L=1140 мм; ГОСТ 34028-2016</x:v>
      </x:c>
      <x:c r="G36" s="23" t="str">
        <x:v>шт</x:v>
      </x:c>
      <x:c r="H36" s="28" t="n">
        <x:v>41</x:v>
      </x:c>
      <x:c r="I36" s="28" t="n">
        <x:v>1.01</x:v>
      </x:c>
      <x:c r="J36" s="28" t="n">
        <x:v>41.41</x:v>
      </x:c>
      <x:c r="K36" s="26" t="n">
        <x:f>IF(I36="","",H36*I36)</x:f>
        <x:v>41.410000000000004</x:v>
      </x:c>
      <x:c r="L36" s="26" t="n">
        <x:f>IF(J36="","",K36-J36)</x:f>
        <x:v>7.105427357601002e-15</x:v>
      </x:c>
      <x:c r="M36" s="23" t="str">
        <x:v>Арматура</x:v>
      </x:c>
      <x:c r="N36" s="23" t="n">
        <x:v>1140</x:v>
      </x:c>
      <x:c r="O36" s="23" t="str"/>
    </x:row>
    <x:row r="37" ht="54" customHeight="1">
      <x:c r="A37" s="23" t="str">
        <x:v>S51_С-1-2_Ш-1</x:v>
      </x:c>
      <x:c r="B37" s="23" t="n">
        <x:v>51</x:v>
      </x:c>
      <x:c r="C37" s="23" t="n">
        <x:v>61</x:v>
      </x:c>
      <x:c r="D37" s="23" t="str">
        <x:v>С-1-2</x:v>
      </x:c>
      <x:c r="E37" s="23" t="str">
        <x:v>Ш-1</x:v>
      </x:c>
      <x:c r="F37" s="23" t="str">
        <x:v>∅10 А240; L=290 мм; ГОСТ 34028-2016</x:v>
      </x:c>
      <x:c r="G37" s="23" t="str">
        <x:v>шт</x:v>
      </x:c>
      <x:c r="H37" s="28" t="n">
        <x:v>95</x:v>
      </x:c>
      <x:c r="I37" s="28" t="n">
        <x:v>0.18</x:v>
      </x:c>
      <x:c r="J37" s="28" t="n">
        <x:v>17.1</x:v>
      </x:c>
      <x:c r="K37" s="26" t="n">
        <x:f>IF(I37="","",H37*I37)</x:f>
        <x:v>17.099999999999998</x:v>
      </x:c>
      <x:c r="L37" s="26" t="n">
        <x:f>IF(J37="","",K37-J37)</x:f>
        <x:v>-3.552713678800501e-15</x:v>
      </x:c>
      <x:c r="M37" s="23" t="str">
        <x:v>Арматура</x:v>
      </x:c>
      <x:c r="N37" s="23" t="n">
        <x:v>290</x:v>
      </x:c>
      <x:c r="O37" s="23" t="str"/>
    </x:row>
    <x:row r="38" ht="54" customHeight="1">
      <x:c r="A38" s="23" t="str">
        <x:v>S51_С-1-2_Бетон</x:v>
      </x:c>
      <x:c r="B38" s="23" t="n">
        <x:v>51</x:v>
      </x:c>
      <x:c r="C38" s="23" t="n">
        <x:v>61</x:v>
      </x:c>
      <x:c r="D38" s="23" t="str">
        <x:v>С-1-2</x:v>
      </x:c>
      <x:c r="E38" s="23" t="str">
        <x:v>Бетон</x:v>
      </x:c>
      <x:c r="F38" s="23" t="str">
        <x:v>Тяжёлый бетон В25 F75 W6; ГОСТ 26633-2015</x:v>
      </x:c>
      <x:c r="G38" s="23" t="str">
        <x:v>м³</x:v>
      </x:c>
      <x:c r="H38" s="28" t="n">
        <x:v>3.8</x:v>
      </x:c>
      <x:c r="I38" s="28"/>
      <x:c r="J38" s="28"/>
      <x:c r="K38" s="26" t="str">
        <x:f>IF(I38="","",H38*I38)</x:f>
      </x:c>
      <x:c r="L38" s="26" t="str">
        <x:f>IF(J38="","",K38-J38)</x:f>
      </x:c>
      <x:c r="M38" s="23" t="str">
        <x:v>Бетон В25</x:v>
      </x:c>
      <x:c r="N38" s="23"/>
      <x:c r="O38" s="23" t="str">
        <x:v>F75 — по таблице.</x:v>
      </x:c>
    </x:row>
    <x:row r="39" ht="54" customHeight="1">
      <x:c r="A39" s="23" t="str">
        <x:v>S53_С-1-4_1</x:v>
      </x:c>
      <x:c r="B39" s="23" t="n">
        <x:v>53</x:v>
      </x:c>
      <x:c r="C39" s="23" t="n">
        <x:v>63</x:v>
      </x:c>
      <x:c r="D39" s="23" t="str">
        <x:v>С-1-4</x:v>
      </x:c>
      <x:c r="E39" s="23" t="str">
        <x:v>1</x:v>
      </x:c>
      <x:c r="F39" s="23" t="str">
        <x:v>∅22 А500С; L=6440 мм; ГОСТ 34028-2016</x:v>
      </x:c>
      <x:c r="G39" s="23" t="str">
        <x:v>шт</x:v>
      </x:c>
      <x:c r="H39" s="28" t="n">
        <x:v>10</x:v>
      </x:c>
      <x:c r="I39" s="28" t="n">
        <x:v>19.19</x:v>
      </x:c>
      <x:c r="J39" s="28" t="n">
        <x:v>191.9</x:v>
      </x:c>
      <x:c r="K39" s="26" t="n">
        <x:f>IF(I39="","",H39*I39)</x:f>
        <x:v>191.9</x:v>
      </x:c>
      <x:c r="L39" s="26" t="n">
        <x:f>IF(J39="","",K39-J39)</x:f>
        <x:v>0</x:v>
      </x:c>
      <x:c r="M39" s="23" t="str">
        <x:v>Арматура</x:v>
      </x:c>
      <x:c r="N39" s="23" t="n">
        <x:v>6440</x:v>
      </x:c>
      <x:c r="O39" s="23" t="str"/>
    </x:row>
    <x:row r="40" ht="54" customHeight="1">
      <x:c r="A40" s="23" t="str">
        <x:v>S53_С-1-4_2</x:v>
      </x:c>
      <x:c r="B40" s="23" t="n">
        <x:v>53</x:v>
      </x:c>
      <x:c r="C40" s="23" t="n">
        <x:v>63</x:v>
      </x:c>
      <x:c r="D40" s="23" t="str">
        <x:v>С-1-4</x:v>
      </x:c>
      <x:c r="E40" s="23" t="str">
        <x:v>2</x:v>
      </x:c>
      <x:c r="F40" s="23" t="str">
        <x:v>∅16 А500С; L=6440 мм; ГОСТ 34028-2016</x:v>
      </x:c>
      <x:c r="G40" s="23" t="str">
        <x:v>шт</x:v>
      </x:c>
      <x:c r="H40" s="28" t="n">
        <x:v>7</x:v>
      </x:c>
      <x:c r="I40" s="28" t="n">
        <x:v>10.18</x:v>
      </x:c>
      <x:c r="J40" s="28" t="n">
        <x:v>71.26</x:v>
      </x:c>
      <x:c r="K40" s="26" t="n">
        <x:f>IF(I40="","",H40*I40)</x:f>
        <x:v>71.25999999999999</x:v>
      </x:c>
      <x:c r="L40" s="26" t="n">
        <x:f>IF(J40="","",K40-J40)</x:f>
        <x:v>-1.4210854715202004e-14</x:v>
      </x:c>
      <x:c r="M40" s="23" t="str">
        <x:v>Арматура</x:v>
      </x:c>
      <x:c r="N40" s="23" t="n">
        <x:v>6440</x:v>
      </x:c>
      <x:c r="O40" s="23" t="str"/>
    </x:row>
    <x:row r="41" ht="54" customHeight="1">
      <x:c r="A41" s="23" t="str">
        <x:v>S53_С-1-4_3</x:v>
      </x:c>
      <x:c r="B41" s="23" t="n">
        <x:v>53</x:v>
      </x:c>
      <x:c r="C41" s="23" t="n">
        <x:v>63</x:v>
      </x:c>
      <x:c r="D41" s="23" t="str">
        <x:v>С-1-4</x:v>
      </x:c>
      <x:c r="E41" s="23" t="str">
        <x:v>3</x:v>
      </x:c>
      <x:c r="F41" s="23" t="str">
        <x:v>∅12 А500С; L=2860 мм; ГОСТ 34028-2016</x:v>
      </x:c>
      <x:c r="G41" s="23" t="str">
        <x:v>шт</x:v>
      </x:c>
      <x:c r="H41" s="28" t="n">
        <x:v>14</x:v>
      </x:c>
      <x:c r="I41" s="28" t="n">
        <x:v>2.54</x:v>
      </x:c>
      <x:c r="J41" s="28" t="n">
        <x:v>35.56</x:v>
      </x:c>
      <x:c r="K41" s="26" t="n">
        <x:f>IF(I41="","",H41*I41)</x:f>
        <x:v>35.56</x:v>
      </x:c>
      <x:c r="L41" s="26" t="n">
        <x:f>IF(J41="","",K41-J41)</x:f>
        <x:v>0</x:v>
      </x:c>
      <x:c r="M41" s="23" t="str">
        <x:v>Арматура</x:v>
      </x:c>
      <x:c r="N41" s="23" t="n">
        <x:v>2860</x:v>
      </x:c>
      <x:c r="O41" s="23" t="str"/>
    </x:row>
    <x:row r="42" ht="54" customHeight="1">
      <x:c r="A42" s="23" t="str">
        <x:v>S53_С-1-4_4</x:v>
      </x:c>
      <x:c r="B42" s="23" t="n">
        <x:v>53</x:v>
      </x:c>
      <x:c r="C42" s="23" t="n">
        <x:v>63</x:v>
      </x:c>
      <x:c r="D42" s="23" t="str">
        <x:v>С-1-4</x:v>
      </x:c>
      <x:c r="E42" s="23" t="str">
        <x:v>4</x:v>
      </x:c>
      <x:c r="F42" s="23" t="str">
        <x:v>∅12 А500С; L=1200 мм; ГОСТ 34028-2016</x:v>
      </x:c>
      <x:c r="G42" s="23" t="str">
        <x:v>шт</x:v>
      </x:c>
      <x:c r="H42" s="28" t="n">
        <x:v>19</x:v>
      </x:c>
      <x:c r="I42" s="28" t="n">
        <x:v>1.07</x:v>
      </x:c>
      <x:c r="J42" s="28" t="n">
        <x:v>20.33</x:v>
      </x:c>
      <x:c r="K42" s="26" t="n">
        <x:f>IF(I42="","",H42*I42)</x:f>
        <x:v>20.330000000000002</x:v>
      </x:c>
      <x:c r="L42" s="26" t="n">
        <x:f>IF(J42="","",K42-J42)</x:f>
        <x:v>3.552713678800501e-15</x:v>
      </x:c>
      <x:c r="M42" s="23" t="str">
        <x:v>Арматура</x:v>
      </x:c>
      <x:c r="N42" s="23" t="n">
        <x:v>1200</x:v>
      </x:c>
      <x:c r="O42" s="23" t="str"/>
    </x:row>
    <x:row r="43" ht="54" customHeight="1">
      <x:c r="A43" s="23" t="str">
        <x:v>S53_С-1-4_Г-1</x:v>
      </x:c>
      <x:c r="B43" s="23" t="n">
        <x:v>53</x:v>
      </x:c>
      <x:c r="C43" s="23" t="n">
        <x:v>63</x:v>
      </x:c>
      <x:c r="D43" s="23" t="str">
        <x:v>С-1-4</x:v>
      </x:c>
      <x:c r="E43" s="23" t="str">
        <x:v>Г-1</x:v>
      </x:c>
      <x:c r="F43" s="23" t="str">
        <x:v>∅12 А500С; L=1400 мм; ГОСТ 34028-2016</x:v>
      </x:c>
      <x:c r="G43" s="23" t="str">
        <x:v>шт</x:v>
      </x:c>
      <x:c r="H43" s="28" t="n">
        <x:v>12</x:v>
      </x:c>
      <x:c r="I43" s="28" t="n">
        <x:v>1.24</x:v>
      </x:c>
      <x:c r="J43" s="28" t="n">
        <x:v>14.88</x:v>
      </x:c>
      <x:c r="K43" s="26" t="n">
        <x:f>IF(I43="","",H43*I43)</x:f>
        <x:v>14.879999999999999</x:v>
      </x:c>
      <x:c r="L43" s="26" t="n">
        <x:f>IF(J43="","",K43-J43)</x:f>
        <x:v>-1.7763568394002505e-15</x:v>
      </x:c>
      <x:c r="M43" s="23" t="str">
        <x:v>Арматура</x:v>
      </x:c>
      <x:c r="N43" s="23" t="n">
        <x:v>1400</x:v>
      </x:c>
      <x:c r="O43" s="23" t="str"/>
    </x:row>
    <x:row r="44" ht="54" customHeight="1">
      <x:c r="A44" s="23" t="str">
        <x:v>S53_С-1-4_П-4</x:v>
      </x:c>
      <x:c r="B44" s="23" t="n">
        <x:v>53</x:v>
      </x:c>
      <x:c r="C44" s="23" t="n">
        <x:v>63</x:v>
      </x:c>
      <x:c r="D44" s="23" t="str">
        <x:v>С-1-4</x:v>
      </x:c>
      <x:c r="E44" s="23" t="str">
        <x:v>П-4</x:v>
      </x:c>
      <x:c r="F44" s="23" t="str">
        <x:v>∅12 А500С; L=1310 мм; ГОСТ 34028-2016</x:v>
      </x:c>
      <x:c r="G44" s="23" t="str">
        <x:v>шт</x:v>
      </x:c>
      <x:c r="H44" s="28" t="n">
        <x:v>14</x:v>
      </x:c>
      <x:c r="I44" s="28" t="n">
        <x:v>1.16</x:v>
      </x:c>
      <x:c r="J44" s="28" t="n">
        <x:v>16.24</x:v>
      </x:c>
      <x:c r="K44" s="26" t="n">
        <x:f>IF(I44="","",H44*I44)</x:f>
        <x:v>16.24</x:v>
      </x:c>
      <x:c r="L44" s="26" t="n">
        <x:f>IF(J44="","",K44-J44)</x:f>
        <x:v>0</x:v>
      </x:c>
      <x:c r="M44" s="23" t="str">
        <x:v>Арматура</x:v>
      </x:c>
      <x:c r="N44" s="23" t="n">
        <x:v>1310</x:v>
      </x:c>
      <x:c r="O44" s="23" t="str"/>
    </x:row>
    <x:row r="45" ht="54" customHeight="1">
      <x:c r="A45" s="23" t="str">
        <x:v>S53_С-1-4_Ш-1</x:v>
      </x:c>
      <x:c r="B45" s="23" t="n">
        <x:v>53</x:v>
      </x:c>
      <x:c r="C45" s="23" t="n">
        <x:v>63</x:v>
      </x:c>
      <x:c r="D45" s="23" t="str">
        <x:v>С-1-4</x:v>
      </x:c>
      <x:c r="E45" s="23" t="str">
        <x:v>Ш-1</x:v>
      </x:c>
      <x:c r="F45" s="23" t="str">
        <x:v>∅10 А240; L=290 мм; ГОСТ 34028-2016</x:v>
      </x:c>
      <x:c r="G45" s="23" t="str">
        <x:v>шт</x:v>
      </x:c>
      <x:c r="H45" s="28" t="n">
        <x:v>24</x:v>
      </x:c>
      <x:c r="I45" s="28" t="n">
        <x:v>0.18</x:v>
      </x:c>
      <x:c r="J45" s="28" t="n">
        <x:v>4.32</x:v>
      </x:c>
      <x:c r="K45" s="26" t="n">
        <x:f>IF(I45="","",H45*I45)</x:f>
        <x:v>4.32</x:v>
      </x:c>
      <x:c r="L45" s="26" t="n">
        <x:f>IF(J45="","",K45-J45)</x:f>
        <x:v>0</x:v>
      </x:c>
      <x:c r="M45" s="23" t="str">
        <x:v>Арматура</x:v>
      </x:c>
      <x:c r="N45" s="23" t="n">
        <x:v>290</x:v>
      </x:c>
      <x:c r="O45" s="23" t="str"/>
    </x:row>
    <x:row r="46" ht="54" customHeight="1">
      <x:c r="A46" s="23" t="str">
        <x:v>S53_С-1-4_Х-1</x:v>
      </x:c>
      <x:c r="B46" s="23" t="n">
        <x:v>53</x:v>
      </x:c>
      <x:c r="C46" s="23" t="n">
        <x:v>63</x:v>
      </x:c>
      <x:c r="D46" s="23" t="str">
        <x:v>С-1-4</x:v>
      </x:c>
      <x:c r="E46" s="23" t="str">
        <x:v>Х-1</x:v>
      </x:c>
      <x:c r="F46" s="23" t="str">
        <x:v>∅8 А240; L=2300 мм; ГОСТ 34028-2016</x:v>
      </x:c>
      <x:c r="G46" s="23" t="str">
        <x:v>шт</x:v>
      </x:c>
      <x:c r="H46" s="28" t="n">
        <x:v>79</x:v>
      </x:c>
      <x:c r="I46" s="28" t="n">
        <x:v>0.91</x:v>
      </x:c>
      <x:c r="J46" s="28" t="n">
        <x:v>71.89</x:v>
      </x:c>
      <x:c r="K46" s="26" t="n">
        <x:f>IF(I46="","",H46*I46)</x:f>
        <x:v>71.89</x:v>
      </x:c>
      <x:c r="L46" s="26" t="n">
        <x:f>IF(J46="","",K46-J46)</x:f>
        <x:v>0</x:v>
      </x:c>
      <x:c r="M46" s="23" t="str">
        <x:v>Арматура</x:v>
      </x:c>
      <x:c r="N46" s="23" t="n">
        <x:v>2300</x:v>
      </x:c>
      <x:c r="O46" s="23" t="str"/>
    </x:row>
    <x:row r="47" ht="54" customHeight="1">
      <x:c r="A47" s="23" t="str">
        <x:v>S53_С-1-4_Ш-2</x:v>
      </x:c>
      <x:c r="B47" s="23" t="n">
        <x:v>53</x:v>
      </x:c>
      <x:c r="C47" s="23" t="n">
        <x:v>63</x:v>
      </x:c>
      <x:c r="D47" s="23" t="str">
        <x:v>С-1-4</x:v>
      </x:c>
      <x:c r="E47" s="23" t="str">
        <x:v>Ш-2</x:v>
      </x:c>
      <x:c r="F47" s="23" t="str">
        <x:v>∅10 А240; L=450 мм; ГОСТ 34028-2016</x:v>
      </x:c>
      <x:c r="G47" s="23" t="str">
        <x:v>шт</x:v>
      </x:c>
      <x:c r="H47" s="28" t="n">
        <x:v>79</x:v>
      </x:c>
      <x:c r="I47" s="28" t="n">
        <x:v>0.28</x:v>
      </x:c>
      <x:c r="J47" s="28" t="n">
        <x:v>22.12</x:v>
      </x:c>
      <x:c r="K47" s="26" t="n">
        <x:f>IF(I47="","",H47*I47)</x:f>
        <x:v>22.12</x:v>
      </x:c>
      <x:c r="L47" s="26" t="n">
        <x:f>IF(J47="","",K47-J47)</x:f>
        <x:v>0</x:v>
      </x:c>
      <x:c r="M47" s="23" t="str">
        <x:v>Арматура</x:v>
      </x:c>
      <x:c r="N47" s="23" t="n">
        <x:v>450</x:v>
      </x:c>
      <x:c r="O47" s="23" t="str"/>
    </x:row>
    <x:row r="48" ht="54" customHeight="1">
      <x:c r="A48" s="23" t="str">
        <x:v>S53_С-1-4_Бетон</x:v>
      </x:c>
      <x:c r="B48" s="23" t="n">
        <x:v>53</x:v>
      </x:c>
      <x:c r="C48" s="23" t="n">
        <x:v>63</x:v>
      </x:c>
      <x:c r="D48" s="23" t="str">
        <x:v>С-1-4</x:v>
      </x:c>
      <x:c r="E48" s="23" t="str">
        <x:v>Бетон</x:v>
      </x:c>
      <x:c r="F48" s="23" t="str">
        <x:v>Тяжёлый бетон В25 F75 W6; ГОСТ 26633-2015</x:v>
      </x:c>
      <x:c r="G48" s="23" t="str">
        <x:v>м³</x:v>
      </x:c>
      <x:c r="H48" s="28" t="n">
        <x:v>4.1</x:v>
      </x:c>
      <x:c r="I48" s="28"/>
      <x:c r="J48" s="28"/>
      <x:c r="K48" s="26" t="str">
        <x:f>IF(I48="","",H48*I48)</x:f>
      </x:c>
      <x:c r="L48" s="26" t="str">
        <x:f>IF(J48="","",K48-J48)</x:f>
      </x:c>
      <x:c r="M48" s="23" t="str">
        <x:v>Бетон В25</x:v>
      </x:c>
      <x:c r="N48" s="23"/>
      <x:c r="O48" s="23" t="str">
        <x:v>F75 — по таблице.</x:v>
      </x:c>
    </x:row>
    <x:row r="49" ht="54" customHeight="1">
      <x:c r="A49" s="23" t="str">
        <x:v>S57_МБ1_1</x:v>
      </x:c>
      <x:c r="B49" s="23" t="n">
        <x:v>57</x:v>
      </x:c>
      <x:c r="C49" s="23" t="n">
        <x:v>67</x:v>
      </x:c>
      <x:c r="D49" s="23" t="str">
        <x:v>МБ1</x:v>
      </x:c>
      <x:c r="E49" s="23" t="str">
        <x:v>1</x:v>
      </x:c>
      <x:c r="F49" s="23" t="str">
        <x:v>Швеллер 27П; С245; ГОСТ 8240-97; L=2830 мм</x:v>
      </x:c>
      <x:c r="G49" s="23" t="str">
        <x:v>шт</x:v>
      </x:c>
      <x:c r="H49" s="28" t="n">
        <x:v>1</x:v>
      </x:c>
      <x:c r="I49" s="28" t="n">
        <x:v>78.39</x:v>
      </x:c>
      <x:c r="J49" s="28"/>
      <x:c r="K49" s="26" t="n">
        <x:f>IF(I49="","",H49*I49)</x:f>
        <x:v>78.39</x:v>
      </x:c>
      <x:c r="L49" s="26" t="str">
        <x:f>IF(J49="","",K49-J49)</x:f>
      </x:c>
      <x:c r="M49" s="23" t="str">
        <x:v>Металлопрокат</x:v>
      </x:c>
      <x:c r="N49" s="23" t="n">
        <x:v>2830</x:v>
      </x:c>
      <x:c r="O49" s="23" t="str"/>
    </x:row>
    <x:row r="50" ht="54" customHeight="1">
      <x:c r="A50" s="23" t="str">
        <x:v>S57_МБ1_2</x:v>
      </x:c>
      <x:c r="B50" s="23" t="n">
        <x:v>57</x:v>
      </x:c>
      <x:c r="C50" s="23" t="n">
        <x:v>67</x:v>
      </x:c>
      <x:c r="D50" s="23" t="str">
        <x:v>МБ1</x:v>
      </x:c>
      <x:c r="E50" s="23" t="str">
        <x:v>2</x:v>
      </x:c>
      <x:c r="F50" s="23" t="str">
        <x:v>Уголок 100×7; С245; ГОСТ 8509-93; L=200 мм</x:v>
      </x:c>
      <x:c r="G50" s="23" t="str">
        <x:v>шт</x:v>
      </x:c>
      <x:c r="H50" s="28" t="n">
        <x:v>2</x:v>
      </x:c>
      <x:c r="I50" s="28" t="n">
        <x:v>2.16</x:v>
      </x:c>
      <x:c r="J50" s="28"/>
      <x:c r="K50" s="26" t="n">
        <x:f>IF(I50="","",H50*I50)</x:f>
        <x:v>4.32</x:v>
      </x:c>
      <x:c r="L50" s="26" t="str">
        <x:f>IF(J50="","",K50-J50)</x:f>
      </x:c>
      <x:c r="M50" s="23" t="str">
        <x:v>Металлопрокат</x:v>
      </x:c>
      <x:c r="N50" s="23" t="n">
        <x:v>200</x:v>
      </x:c>
      <x:c r="O50" s="23" t="str"/>
    </x:row>
    <x:row r="51" ht="54" customHeight="1">
      <x:c r="A51" s="23" t="str">
        <x:v>S57_МБ2_1</x:v>
      </x:c>
      <x:c r="B51" s="23" t="n">
        <x:v>57</x:v>
      </x:c>
      <x:c r="C51" s="23" t="n">
        <x:v>67</x:v>
      </x:c>
      <x:c r="D51" s="23" t="str">
        <x:v>МБ2</x:v>
      </x:c>
      <x:c r="E51" s="23" t="str">
        <x:v>1</x:v>
      </x:c>
      <x:c r="F51" s="23" t="str">
        <x:v>Швеллер 27П; С245; ГОСТ 8240-97; L=2830 мм</x:v>
      </x:c>
      <x:c r="G51" s="23" t="str">
        <x:v>шт</x:v>
      </x:c>
      <x:c r="H51" s="28" t="n">
        <x:v>1</x:v>
      </x:c>
      <x:c r="I51" s="28" t="n">
        <x:v>78.39</x:v>
      </x:c>
      <x:c r="J51" s="28"/>
      <x:c r="K51" s="26" t="n">
        <x:f>IF(I51="","",H51*I51)</x:f>
        <x:v>78.39</x:v>
      </x:c>
      <x:c r="L51" s="26" t="str">
        <x:f>IF(J51="","",K51-J51)</x:f>
      </x:c>
      <x:c r="M51" s="23" t="str">
        <x:v>Металлопрокат</x:v>
      </x:c>
      <x:c r="N51" s="23" t="n">
        <x:v>2830</x:v>
      </x:c>
      <x:c r="O51" s="23" t="str"/>
    </x:row>
    <x:row r="52" ht="54" customHeight="1">
      <x:c r="A52" s="23" t="str">
        <x:v>S57_МБ2_2</x:v>
      </x:c>
      <x:c r="B52" s="23" t="n">
        <x:v>57</x:v>
      </x:c>
      <x:c r="C52" s="23" t="n">
        <x:v>67</x:v>
      </x:c>
      <x:c r="D52" s="23" t="str">
        <x:v>МБ2</x:v>
      </x:c>
      <x:c r="E52" s="23" t="str">
        <x:v>2</x:v>
      </x:c>
      <x:c r="F52" s="23" t="str">
        <x:v>Уголок 100×7; С245; ГОСТ 8509-93; L=200 мм</x:v>
      </x:c>
      <x:c r="G52" s="23" t="str">
        <x:v>шт</x:v>
      </x:c>
      <x:c r="H52" s="28" t="n">
        <x:v>2</x:v>
      </x:c>
      <x:c r="I52" s="28" t="n">
        <x:v>2.16</x:v>
      </x:c>
      <x:c r="J52" s="28"/>
      <x:c r="K52" s="26" t="n">
        <x:f>IF(I52="","",H52*I52)</x:f>
        <x:v>4.32</x:v>
      </x:c>
      <x:c r="L52" s="26" t="str">
        <x:f>IF(J52="","",K52-J52)</x:f>
      </x:c>
      <x:c r="M52" s="23" t="str">
        <x:v>Металлопрокат</x:v>
      </x:c>
      <x:c r="N52" s="23" t="n">
        <x:v>200</x:v>
      </x:c>
      <x:c r="O52" s="23" t="str"/>
    </x:row>
    <x:row r="53" ht="54" customHeight="1">
      <x:c r="A53" s="23" t="str">
        <x:v>S57_МБ3_1</x:v>
      </x:c>
      <x:c r="B53" s="23" t="n">
        <x:v>57</x:v>
      </x:c>
      <x:c r="C53" s="23" t="n">
        <x:v>67</x:v>
      </x:c>
      <x:c r="D53" s="23" t="str">
        <x:v>МБ3</x:v>
      </x:c>
      <x:c r="E53" s="23" t="str">
        <x:v>1</x:v>
      </x:c>
      <x:c r="F53" s="23" t="str">
        <x:v>Швеллер 27П; С245; ГОСТ 8240-97; L=2830 мм</x:v>
      </x:c>
      <x:c r="G53" s="23" t="str">
        <x:v>шт</x:v>
      </x:c>
      <x:c r="H53" s="28" t="n">
        <x:v>1</x:v>
      </x:c>
      <x:c r="I53" s="28" t="n">
        <x:v>78.39</x:v>
      </x:c>
      <x:c r="J53" s="28"/>
      <x:c r="K53" s="26" t="n">
        <x:f>IF(I53="","",H53*I53)</x:f>
        <x:v>78.39</x:v>
      </x:c>
      <x:c r="L53" s="26" t="str">
        <x:f>IF(J53="","",K53-J53)</x:f>
      </x:c>
      <x:c r="M53" s="23" t="str">
        <x:v>Металлопрокат</x:v>
      </x:c>
      <x:c r="N53" s="23" t="n">
        <x:v>2830</x:v>
      </x:c>
      <x:c r="O53" s="23" t="str"/>
    </x:row>
    <x:row r="54" ht="54" customHeight="1">
      <x:c r="A54" s="23" t="str">
        <x:v>S57_МБ3_2</x:v>
      </x:c>
      <x:c r="B54" s="23" t="n">
        <x:v>57</x:v>
      </x:c>
      <x:c r="C54" s="23" t="n">
        <x:v>67</x:v>
      </x:c>
      <x:c r="D54" s="23" t="str">
        <x:v>МБ3</x:v>
      </x:c>
      <x:c r="E54" s="23" t="str">
        <x:v>2</x:v>
      </x:c>
      <x:c r="F54" s="23" t="str">
        <x:v>Уголок 100×7; С245; ГОСТ 8509-93; L=200 мм</x:v>
      </x:c>
      <x:c r="G54" s="23" t="str">
        <x:v>шт</x:v>
      </x:c>
      <x:c r="H54" s="28" t="n">
        <x:v>2</x:v>
      </x:c>
      <x:c r="I54" s="28" t="n">
        <x:v>2.16</x:v>
      </x:c>
      <x:c r="J54" s="28"/>
      <x:c r="K54" s="26" t="n">
        <x:f>IF(I54="","",H54*I54)</x:f>
        <x:v>4.32</x:v>
      </x:c>
      <x:c r="L54" s="26" t="str">
        <x:f>IF(J54="","",K54-J54)</x:f>
      </x:c>
      <x:c r="M54" s="23" t="str">
        <x:v>Металлопрокат</x:v>
      </x:c>
      <x:c r="N54" s="23" t="n">
        <x:v>200</x:v>
      </x:c>
      <x:c r="O54" s="23" t="str"/>
    </x:row>
    <x:row r="55" ht="54" customHeight="1">
      <x:c r="A55" s="23" t="str">
        <x:v>S59_КС1_1</x:v>
      </x:c>
      <x:c r="B55" s="23" t="n">
        <x:v>59</x:v>
      </x:c>
      <x:c r="C55" s="23" t="n">
        <x:v>69</x:v>
      </x:c>
      <x:c r="D55" s="23" t="str">
        <x:v>КС1</x:v>
      </x:c>
      <x:c r="E55" s="23" t="str">
        <x:v>1</x:v>
      </x:c>
      <x:c r="F55" s="23" t="str">
        <x:v>Швеллер 22П; С245; ГОСТ 8240-97; L=3230 мм</x:v>
      </x:c>
      <x:c r="G55" s="23" t="str">
        <x:v>шт</x:v>
      </x:c>
      <x:c r="H55" s="28" t="n">
        <x:v>1</x:v>
      </x:c>
      <x:c r="I55" s="28" t="n">
        <x:v>67.83</x:v>
      </x:c>
      <x:c r="J55" s="28"/>
      <x:c r="K55" s="26" t="n">
        <x:f>IF(I55="","",H55*I55)</x:f>
        <x:v>67.83</x:v>
      </x:c>
      <x:c r="L55" s="26" t="str">
        <x:f>IF(J55="","",K55-J55)</x:f>
      </x:c>
      <x:c r="M55" s="23" t="str">
        <x:v>Металлопрокат</x:v>
      </x:c>
      <x:c r="N55" s="23" t="n">
        <x:v>3230</x:v>
      </x:c>
      <x:c r="O55" s="23" t="str">
        <x:v>Габарит монтажа и длина заготовки не тождественны. Для КС1 см. RFI-L05.</x:v>
      </x:c>
    </x:row>
    <x:row r="56" ht="54" customHeight="1">
      <x:c r="A56" s="23" t="str">
        <x:v>S59_КС1_2</x:v>
      </x:c>
      <x:c r="B56" s="23" t="n">
        <x:v>59</x:v>
      </x:c>
      <x:c r="C56" s="23" t="n">
        <x:v>69</x:v>
      </x:c>
      <x:c r="D56" s="23" t="str">
        <x:v>КС1</x:v>
      </x:c>
      <x:c r="E56" s="23" t="str">
        <x:v>2</x:v>
      </x:c>
      <x:c r="F56" s="23" t="str">
        <x:v>Уголок 75×8; С245; ГОСТ 8509-93; L=130 мм</x:v>
      </x:c>
      <x:c r="G56" s="23" t="str">
        <x:v>шт</x:v>
      </x:c>
      <x:c r="H56" s="28" t="n">
        <x:v>1</x:v>
      </x:c>
      <x:c r="I56" s="28" t="n">
        <x:v>1.17</x:v>
      </x:c>
      <x:c r="J56" s="28"/>
      <x:c r="K56" s="26" t="n">
        <x:f>IF(I56="","",H56*I56)</x:f>
        <x:v>1.17</x:v>
      </x:c>
      <x:c r="L56" s="26" t="str">
        <x:f>IF(J56="","",K56-J56)</x:f>
      </x:c>
      <x:c r="M56" s="23" t="str">
        <x:v>Металлопрокат</x:v>
      </x:c>
      <x:c r="N56" s="23" t="n">
        <x:v>130</x:v>
      </x:c>
      <x:c r="O56" s="23" t="str"/>
    </x:row>
    <x:row r="57" ht="54" customHeight="1">
      <x:c r="A57" s="23" t="str">
        <x:v>S59_КС1_3</x:v>
      </x:c>
      <x:c r="B57" s="23" t="n">
        <x:v>59</x:v>
      </x:c>
      <x:c r="C57" s="23" t="n">
        <x:v>69</x:v>
      </x:c>
      <x:c r="D57" s="23" t="str">
        <x:v>КС1</x:v>
      </x:c>
      <x:c r="E57" s="23" t="str">
        <x:v>3</x:v>
      </x:c>
      <x:c r="F57" s="23" t="str">
        <x:v>Лист 10×200; С245; ГОСТ 19903-2015; L=580 мм</x:v>
      </x:c>
      <x:c r="G57" s="23" t="str">
        <x:v>шт</x:v>
      </x:c>
      <x:c r="H57" s="28" t="n">
        <x:v>1</x:v>
      </x:c>
      <x:c r="I57" s="28" t="n">
        <x:v>45.53</x:v>
      </x:c>
      <x:c r="J57" s="28"/>
      <x:c r="K57" s="26" t="n">
        <x:f>IF(I57="","",H57*I57)</x:f>
        <x:v>45.53</x:v>
      </x:c>
      <x:c r="L57" s="26" t="str">
        <x:f>IF(J57="","",K57-J57)</x:f>
      </x:c>
      <x:c r="M57" s="23" t="str">
        <x:v>Металлопрокат</x:v>
      </x:c>
      <x:c r="N57" s="23" t="n">
        <x:v>580</x:v>
      </x:c>
      <x:c r="O57" s="23" t="str">
        <x:v>45,53 кг сохранено по РД. Проверить массу пластины — RFI-L05.</x:v>
      </x:c>
    </x:row>
    <x:row r="58" ht="54" customHeight="1">
      <x:c r="A58" s="23" t="str">
        <x:v>S59_КС1_4</x:v>
      </x:c>
      <x:c r="B58" s="23" t="n">
        <x:v>59</x:v>
      </x:c>
      <x:c r="C58" s="23" t="n">
        <x:v>69</x:v>
      </x:c>
      <x:c r="D58" s="23" t="str">
        <x:v>КС1</x:v>
      </x:c>
      <x:c r="E58" s="23" t="str">
        <x:v>4</x:v>
      </x:c>
      <x:c r="F58" s="23" t="str">
        <x:v>Уголок 40×5; С245; ГОСТ 8509-93; L=80 мм</x:v>
      </x:c>
      <x:c r="G58" s="23" t="str">
        <x:v>шт</x:v>
      </x:c>
      <x:c r="H58" s="28" t="n">
        <x:v>1</x:v>
      </x:c>
      <x:c r="I58" s="28" t="n">
        <x:v>0.24</x:v>
      </x:c>
      <x:c r="J58" s="28"/>
      <x:c r="K58" s="26" t="n">
        <x:f>IF(I58="","",H58*I58)</x:f>
        <x:v>0.24</x:v>
      </x:c>
      <x:c r="L58" s="26" t="str">
        <x:f>IF(J58="","",K58-J58)</x:f>
      </x:c>
      <x:c r="M58" s="23" t="str">
        <x:v>Металлопрокат</x:v>
      </x:c>
      <x:c r="N58" s="23" t="n">
        <x:v>80</x:v>
      </x:c>
      <x:c r="O58" s="23" t="str"/>
    </x:row>
    <x:row r="59" ht="54" customHeight="1">
      <x:c r="A59" s="23" t="str">
        <x:v>S59_КС2_5</x:v>
      </x:c>
      <x:c r="B59" s="23" t="n">
        <x:v>59</x:v>
      </x:c>
      <x:c r="C59" s="23" t="n">
        <x:v>69</x:v>
      </x:c>
      <x:c r="D59" s="23" t="str">
        <x:v>КС2</x:v>
      </x:c>
      <x:c r="E59" s="23" t="str">
        <x:v>5</x:v>
      </x:c>
      <x:c r="F59" s="23" t="str">
        <x:v>Швеллер 22П; С245; ГОСТ 8240-97; L=4150 мм</x:v>
      </x:c>
      <x:c r="G59" s="23" t="str">
        <x:v>шт</x:v>
      </x:c>
      <x:c r="H59" s="28" t="n">
        <x:v>1</x:v>
      </x:c>
      <x:c r="I59" s="28" t="n">
        <x:v>87.15</x:v>
      </x:c>
      <x:c r="J59" s="28"/>
      <x:c r="K59" s="26" t="n">
        <x:f>IF(I59="","",H59*I59)</x:f>
        <x:v>87.15</x:v>
      </x:c>
      <x:c r="L59" s="26" t="str">
        <x:f>IF(J59="","",K59-J59)</x:f>
      </x:c>
      <x:c r="M59" s="23" t="str">
        <x:v>Металлопрокат</x:v>
      </x:c>
      <x:c r="N59" s="23" t="n">
        <x:v>4150</x:v>
      </x:c>
      <x:c r="O59" s="23" t="str">
        <x:v>Габарит монтажа и длина заготовки не тождественны. Для КС1 см. RFI-L05.</x:v>
      </x:c>
    </x:row>
    <x:row r="60" ht="54" customHeight="1">
      <x:c r="A60" s="23" t="str">
        <x:v>S59_КС2_2</x:v>
      </x:c>
      <x:c r="B60" s="23" t="n">
        <x:v>59</x:v>
      </x:c>
      <x:c r="C60" s="23" t="n">
        <x:v>69</x:v>
      </x:c>
      <x:c r="D60" s="23" t="str">
        <x:v>КС2</x:v>
      </x:c>
      <x:c r="E60" s="23" t="str">
        <x:v>2</x:v>
      </x:c>
      <x:c r="F60" s="23" t="str">
        <x:v>Уголок 75×8; С245; ГОСТ 8509-93; L=130 мм</x:v>
      </x:c>
      <x:c r="G60" s="23" t="str">
        <x:v>шт</x:v>
      </x:c>
      <x:c r="H60" s="28" t="n">
        <x:v>2</x:v>
      </x:c>
      <x:c r="I60" s="28" t="n">
        <x:v>1.17</x:v>
      </x:c>
      <x:c r="J60" s="28"/>
      <x:c r="K60" s="26" t="n">
        <x:f>IF(I60="","",H60*I60)</x:f>
        <x:v>2.34</x:v>
      </x:c>
      <x:c r="L60" s="26" t="str">
        <x:f>IF(J60="","",K60-J60)</x:f>
      </x:c>
      <x:c r="M60" s="23" t="str">
        <x:v>Металлопрокат</x:v>
      </x:c>
      <x:c r="N60" s="23" t="n">
        <x:v>130</x:v>
      </x:c>
      <x:c r="O60" s="23" t="str"/>
    </x:row>
    <x:row r="61" ht="54" customHeight="1">
      <x:c r="A61" s="23" t="str">
        <x:v>S59_КС2_4</x:v>
      </x:c>
      <x:c r="B61" s="23" t="n">
        <x:v>59</x:v>
      </x:c>
      <x:c r="C61" s="23" t="n">
        <x:v>69</x:v>
      </x:c>
      <x:c r="D61" s="23" t="str">
        <x:v>КС2</x:v>
      </x:c>
      <x:c r="E61" s="23" t="str">
        <x:v>4</x:v>
      </x:c>
      <x:c r="F61" s="23" t="str">
        <x:v>Уголок 40×5; С245; ГОСТ 8509-93; L=80 мм</x:v>
      </x:c>
      <x:c r="G61" s="23" t="str">
        <x:v>шт</x:v>
      </x:c>
      <x:c r="H61" s="28" t="n">
        <x:v>1</x:v>
      </x:c>
      <x:c r="I61" s="28" t="n">
        <x:v>0.24</x:v>
      </x:c>
      <x:c r="J61" s="28"/>
      <x:c r="K61" s="26" t="n">
        <x:f>IF(I61="","",H61*I61)</x:f>
        <x:v>0.24</x:v>
      </x:c>
      <x:c r="L61" s="26" t="str">
        <x:f>IF(J61="","",K61-J61)</x:f>
      </x:c>
      <x:c r="M61" s="23" t="str">
        <x:v>Металлопрокат</x:v>
      </x:c>
      <x:c r="N61" s="23" t="n">
        <x:v>80</x:v>
      </x:c>
      <x:c r="O61" s="23" t="str"/>
    </x:row>
    <x:row r="62" ht="54" customHeight="1">
      <x:c r="A62" s="23" t="str">
        <x:v>S59_КС3_6</x:v>
      </x:c>
      <x:c r="B62" s="23" t="n">
        <x:v>59</x:v>
      </x:c>
      <x:c r="C62" s="23" t="n">
        <x:v>69</x:v>
      </x:c>
      <x:c r="D62" s="23" t="str">
        <x:v>КС3</x:v>
      </x:c>
      <x:c r="E62" s="23" t="str">
        <x:v>6</x:v>
      </x:c>
      <x:c r="F62" s="23" t="str">
        <x:v>Швеллер 22П; С245; ГОСТ 8240-97; L=4795 мм</x:v>
      </x:c>
      <x:c r="G62" s="23" t="str">
        <x:v>шт</x:v>
      </x:c>
      <x:c r="H62" s="28" t="n">
        <x:v>1</x:v>
      </x:c>
      <x:c r="I62" s="28" t="n">
        <x:v>100.7</x:v>
      </x:c>
      <x:c r="J62" s="28"/>
      <x:c r="K62" s="26" t="n">
        <x:f>IF(I62="","",H62*I62)</x:f>
        <x:v>100.7</x:v>
      </x:c>
      <x:c r="L62" s="26" t="str">
        <x:f>IF(J62="","",K62-J62)</x:f>
      </x:c>
      <x:c r="M62" s="23" t="str">
        <x:v>Металлопрокат</x:v>
      </x:c>
      <x:c r="N62" s="23" t="n">
        <x:v>4795</x:v>
      </x:c>
      <x:c r="O62" s="23" t="str">
        <x:v>Габарит монтажа и длина заготовки не тождественны. Для КС1 см. RFI-L05.</x:v>
      </x:c>
    </x:row>
    <x:row r="63" ht="54" customHeight="1">
      <x:c r="A63" s="23" t="str">
        <x:v>S59_КС3_2</x:v>
      </x:c>
      <x:c r="B63" s="23" t="n">
        <x:v>59</x:v>
      </x:c>
      <x:c r="C63" s="23" t="n">
        <x:v>69</x:v>
      </x:c>
      <x:c r="D63" s="23" t="str">
        <x:v>КС3</x:v>
      </x:c>
      <x:c r="E63" s="23" t="str">
        <x:v>2</x:v>
      </x:c>
      <x:c r="F63" s="23" t="str">
        <x:v>Уголок 75×8; С245; ГОСТ 8509-93; L=130 мм</x:v>
      </x:c>
      <x:c r="G63" s="23" t="str">
        <x:v>шт</x:v>
      </x:c>
      <x:c r="H63" s="28" t="n">
        <x:v>2</x:v>
      </x:c>
      <x:c r="I63" s="28" t="n">
        <x:v>1.17</x:v>
      </x:c>
      <x:c r="J63" s="28"/>
      <x:c r="K63" s="26" t="n">
        <x:f>IF(I63="","",H63*I63)</x:f>
        <x:v>2.34</x:v>
      </x:c>
      <x:c r="L63" s="26" t="str">
        <x:f>IF(J63="","",K63-J63)</x:f>
      </x:c>
      <x:c r="M63" s="23" t="str">
        <x:v>Металлопрокат</x:v>
      </x:c>
      <x:c r="N63" s="23" t="n">
        <x:v>130</x:v>
      </x:c>
      <x:c r="O63" s="23" t="str"/>
    </x:row>
    <x:row r="64" ht="54" customHeight="1">
      <x:c r="A64" s="23" t="str">
        <x:v>S59_КС3_4</x:v>
      </x:c>
      <x:c r="B64" s="23" t="n">
        <x:v>59</x:v>
      </x:c>
      <x:c r="C64" s="23" t="n">
        <x:v>69</x:v>
      </x:c>
      <x:c r="D64" s="23" t="str">
        <x:v>КС3</x:v>
      </x:c>
      <x:c r="E64" s="23" t="str">
        <x:v>4</x:v>
      </x:c>
      <x:c r="F64" s="23" t="str">
        <x:v>Уголок 40×5; С245; ГОСТ 8509-93; L=80 мм</x:v>
      </x:c>
      <x:c r="G64" s="23" t="str">
        <x:v>шт</x:v>
      </x:c>
      <x:c r="H64" s="28" t="n">
        <x:v>1</x:v>
      </x:c>
      <x:c r="I64" s="28" t="n">
        <x:v>0.24</x:v>
      </x:c>
      <x:c r="J64" s="28"/>
      <x:c r="K64" s="26" t="n">
        <x:f>IF(I64="","",H64*I64)</x:f>
        <x:v>0.24</x:v>
      </x:c>
      <x:c r="L64" s="26" t="str">
        <x:f>IF(J64="","",K64-J64)</x:f>
      </x:c>
      <x:c r="M64" s="23" t="str">
        <x:v>Металлопрокат</x:v>
      </x:c>
      <x:c r="N64" s="23" t="n">
        <x:v>80</x:v>
      </x:c>
      <x:c r="O64" s="23" t="str"/>
    </x:row>
    <x:row r="65" ht="54" customHeight="1">
      <x:c r="A65" s="23" t="str">
        <x:v>S59_КС4_7</x:v>
      </x:c>
      <x:c r="B65" s="23" t="n">
        <x:v>59</x:v>
      </x:c>
      <x:c r="C65" s="23" t="n">
        <x:v>69</x:v>
      </x:c>
      <x:c r="D65" s="23" t="str">
        <x:v>КС4</x:v>
      </x:c>
      <x:c r="E65" s="23" t="str">
        <x:v>7</x:v>
      </x:c>
      <x:c r="F65" s="23" t="str">
        <x:v>Швеллер 22П; С245; ГОСТ 8240-97; L=4640 мм</x:v>
      </x:c>
      <x:c r="G65" s="23" t="str">
        <x:v>шт</x:v>
      </x:c>
      <x:c r="H65" s="28" t="n">
        <x:v>1</x:v>
      </x:c>
      <x:c r="I65" s="28" t="n">
        <x:v>97.44</x:v>
      </x:c>
      <x:c r="J65" s="28"/>
      <x:c r="K65" s="26" t="n">
        <x:f>IF(I65="","",H65*I65)</x:f>
        <x:v>97.44</x:v>
      </x:c>
      <x:c r="L65" s="26" t="str">
        <x:f>IF(J65="","",K65-J65)</x:f>
      </x:c>
      <x:c r="M65" s="23" t="str">
        <x:v>Металлопрокат</x:v>
      </x:c>
      <x:c r="N65" s="23" t="n">
        <x:v>4640</x:v>
      </x:c>
      <x:c r="O65" s="23" t="str">
        <x:v>Габарит монтажа и длина заготовки не тождественны. Для КС1 см. RFI-L05.</x:v>
      </x:c>
    </x:row>
    <x:row r="66" ht="54" customHeight="1">
      <x:c r="A66" s="23" t="str">
        <x:v>S59_КС4_2</x:v>
      </x:c>
      <x:c r="B66" s="23" t="n">
        <x:v>59</x:v>
      </x:c>
      <x:c r="C66" s="23" t="n">
        <x:v>69</x:v>
      </x:c>
      <x:c r="D66" s="23" t="str">
        <x:v>КС4</x:v>
      </x:c>
      <x:c r="E66" s="23" t="str">
        <x:v>2</x:v>
      </x:c>
      <x:c r="F66" s="23" t="str">
        <x:v>Уголок 75×8; С245; ГОСТ 8509-93; L=130 мм</x:v>
      </x:c>
      <x:c r="G66" s="23" t="str">
        <x:v>шт</x:v>
      </x:c>
      <x:c r="H66" s="28" t="n">
        <x:v>2</x:v>
      </x:c>
      <x:c r="I66" s="28" t="n">
        <x:v>1.17</x:v>
      </x:c>
      <x:c r="J66" s="28"/>
      <x:c r="K66" s="26" t="n">
        <x:f>IF(I66="","",H66*I66)</x:f>
        <x:v>2.34</x:v>
      </x:c>
      <x:c r="L66" s="26" t="str">
        <x:f>IF(J66="","",K66-J66)</x:f>
      </x:c>
      <x:c r="M66" s="23" t="str">
        <x:v>Металлопрокат</x:v>
      </x:c>
      <x:c r="N66" s="23" t="n">
        <x:v>130</x:v>
      </x:c>
      <x:c r="O66" s="23" t="str"/>
    </x:row>
    <x:row r="67" ht="54" customHeight="1">
      <x:c r="A67" s="23" t="str">
        <x:v>S59_КС4_4</x:v>
      </x:c>
      <x:c r="B67" s="23" t="n">
        <x:v>59</x:v>
      </x:c>
      <x:c r="C67" s="23" t="n">
        <x:v>69</x:v>
      </x:c>
      <x:c r="D67" s="23" t="str">
        <x:v>КС4</x:v>
      </x:c>
      <x:c r="E67" s="23" t="str">
        <x:v>4</x:v>
      </x:c>
      <x:c r="F67" s="23" t="str">
        <x:v>Уголок 40×5; С245; ГОСТ 8509-93; L=80 мм</x:v>
      </x:c>
      <x:c r="G67" s="23" t="str">
        <x:v>шт</x:v>
      </x:c>
      <x:c r="H67" s="28" t="n">
        <x:v>1</x:v>
      </x:c>
      <x:c r="I67" s="28" t="n">
        <x:v>0.24</x:v>
      </x:c>
      <x:c r="J67" s="28"/>
      <x:c r="K67" s="26" t="n">
        <x:f>IF(I67="","",H67*I67)</x:f>
        <x:v>0.24</x:v>
      </x:c>
      <x:c r="L67" s="26" t="str">
        <x:f>IF(J67="","",K67-J67)</x:f>
      </x:c>
      <x:c r="M67" s="23" t="str">
        <x:v>Металлопрокат</x:v>
      </x:c>
      <x:c r="N67" s="23" t="n">
        <x:v>80</x:v>
      </x:c>
      <x:c r="O67" s="23" t="str"/>
    </x:row>
    <x:row r="68" ht="54" customHeight="1">
      <x:c r="A68" s="23" t="str">
        <x:v>S60_ЛП1_1</x:v>
      </x:c>
      <x:c r="B68" s="23" t="n">
        <x:v>60</x:v>
      </x:c>
      <x:c r="C68" s="23" t="n">
        <x:v>70</x:v>
      </x:c>
      <x:c r="D68" s="23" t="str">
        <x:v>ЛП1</x:v>
      </x:c>
      <x:c r="E68" s="23" t="str">
        <x:v>1</x:v>
      </x:c>
      <x:c r="F68" s="23" t="str">
        <x:v>∅10 А500С; L=2550 мм; ГОСТ 34028-2016</x:v>
      </x:c>
      <x:c r="G68" s="23" t="str">
        <x:v>шт</x:v>
      </x:c>
      <x:c r="H68" s="28" t="n">
        <x:v>7</x:v>
      </x:c>
      <x:c r="I68" s="28" t="n">
        <x:v>1.57</x:v>
      </x:c>
      <x:c r="J68" s="28"/>
      <x:c r="K68" s="26" t="n">
        <x:f>IF(I68="","",H68*I68)</x:f>
        <x:v>10.99</x:v>
      </x:c>
      <x:c r="L68" s="26" t="str">
        <x:f>IF(J68="","",K68-J68)</x:f>
      </x:c>
      <x:c r="M68" s="23" t="str">
        <x:v>Арматура</x:v>
      </x:c>
      <x:c r="N68" s="23" t="n">
        <x:v>2550</x:v>
      </x:c>
      <x:c r="O68" s="23" t="str"/>
    </x:row>
    <x:row r="69" ht="54" customHeight="1">
      <x:c r="A69" s="23" t="str">
        <x:v>S60_ЛП1_2</x:v>
      </x:c>
      <x:c r="B69" s="23" t="n">
        <x:v>60</x:v>
      </x:c>
      <x:c r="C69" s="23" t="n">
        <x:v>70</x:v>
      </x:c>
      <x:c r="D69" s="23" t="str">
        <x:v>ЛП1</x:v>
      </x:c>
      <x:c r="E69" s="23" t="str">
        <x:v>2</x:v>
      </x:c>
      <x:c r="F69" s="23" t="str">
        <x:v>∅10 А500С; L=1180 мм; ГОСТ 34028-2016</x:v>
      </x:c>
      <x:c r="G69" s="23" t="str">
        <x:v>шт</x:v>
      </x:c>
      <x:c r="H69" s="28" t="n">
        <x:v>1</x:v>
      </x:c>
      <x:c r="I69" s="28" t="n">
        <x:v>0.73</x:v>
      </x:c>
      <x:c r="J69" s="28"/>
      <x:c r="K69" s="26" t="n">
        <x:f>IF(I69="","",H69*I69)</x:f>
        <x:v>0.73</x:v>
      </x:c>
      <x:c r="L69" s="26" t="str">
        <x:f>IF(J69="","",K69-J69)</x:f>
      </x:c>
      <x:c r="M69" s="23" t="str">
        <x:v>Арматура</x:v>
      </x:c>
      <x:c r="N69" s="23" t="n">
        <x:v>1180</x:v>
      </x:c>
      <x:c r="O69" s="23" t="str"/>
    </x:row>
    <x:row r="70" ht="54" customHeight="1">
      <x:c r="A70" s="23" t="str">
        <x:v>S60_ЛП1_Кр-1</x:v>
      </x:c>
      <x:c r="B70" s="23" t="n">
        <x:v>60</x:v>
      </x:c>
      <x:c r="C70" s="23" t="n">
        <x:v>70</x:v>
      </x:c>
      <x:c r="D70" s="23" t="str">
        <x:v>ЛП1</x:v>
      </x:c>
      <x:c r="E70" s="23" t="str">
        <x:v>Кр-1</x:v>
      </x:c>
      <x:c r="F70" s="23" t="str">
        <x:v>Арматурный каркас Кр-1; лист 65</x:v>
      </x:c>
      <x:c r="G70" s="23" t="str">
        <x:v>шт</x:v>
      </x:c>
      <x:c r="H70" s="28" t="n">
        <x:v>7</x:v>
      </x:c>
      <x:c r="I70" s="28" t="n">
        <x:v>1.89</x:v>
      </x:c>
      <x:c r="J70" s="28"/>
      <x:c r="K70" s="26" t="n">
        <x:f>IF(I70="","",H70*I70)</x:f>
        <x:v>13.229999999999999</x:v>
      </x:c>
      <x:c r="L70" s="26" t="str">
        <x:f>IF(J70="","",K70-J70)</x:f>
      </x:c>
      <x:c r="M70" s="23" t="str">
        <x:v>Каркас</x:v>
      </x:c>
      <x:c r="N70" s="23"/>
      <x:c r="O70" s="23" t="str">
        <x:v>Сборочная строка. В ресурсах масса заменена деталями листа 65, не задваивается.</x:v>
      </x:c>
    </x:row>
    <x:row r="71" ht="54" customHeight="1">
      <x:c r="A71" s="23" t="str">
        <x:v>S60_ЛП1_Кр-2</x:v>
      </x:c>
      <x:c r="B71" s="23" t="n">
        <x:v>60</x:v>
      </x:c>
      <x:c r="C71" s="23" t="n">
        <x:v>70</x:v>
      </x:c>
      <x:c r="D71" s="23" t="str">
        <x:v>ЛП1</x:v>
      </x:c>
      <x:c r="E71" s="23" t="str">
        <x:v>Кр-2</x:v>
      </x:c>
      <x:c r="F71" s="23" t="str">
        <x:v>Арматурный каркас Кр-2; лист 65</x:v>
      </x:c>
      <x:c r="G71" s="23" t="str">
        <x:v>шт</x:v>
      </x:c>
      <x:c r="H71" s="28" t="n">
        <x:v>7</x:v>
      </x:c>
      <x:c r="I71" s="28" t="n">
        <x:v>1.83</x:v>
      </x:c>
      <x:c r="J71" s="28"/>
      <x:c r="K71" s="26" t="n">
        <x:f>IF(I71="","",H71*I71)</x:f>
        <x:v>12.81</x:v>
      </x:c>
      <x:c r="L71" s="26" t="str">
        <x:f>IF(J71="","",K71-J71)</x:f>
      </x:c>
      <x:c r="M71" s="23" t="str">
        <x:v>Каркас</x:v>
      </x:c>
      <x:c r="N71" s="23"/>
      <x:c r="O71" s="23" t="str">
        <x:v>Сборочная строка. В ресурсах масса заменена деталями листа 65, не задваивается.</x:v>
      </x:c>
    </x:row>
    <x:row r="72" ht="54" customHeight="1">
      <x:c r="A72" s="23" t="str">
        <x:v>S60_ЛП1_П-1</x:v>
      </x:c>
      <x:c r="B72" s="23" t="n">
        <x:v>60</x:v>
      </x:c>
      <x:c r="C72" s="23" t="n">
        <x:v>70</x:v>
      </x:c>
      <x:c r="D72" s="23" t="str">
        <x:v>ЛП1</x:v>
      </x:c>
      <x:c r="E72" s="23" t="str">
        <x:v>П-1</x:v>
      </x:c>
      <x:c r="F72" s="23" t="str">
        <x:v>∅10 А500С; L=1100 мм; ГОСТ 34028-2016</x:v>
      </x:c>
      <x:c r="G72" s="23" t="str">
        <x:v>шт</x:v>
      </x:c>
      <x:c r="H72" s="28" t="n">
        <x:v>7</x:v>
      </x:c>
      <x:c r="I72" s="28" t="n">
        <x:v>0.68</x:v>
      </x:c>
      <x:c r="J72" s="28"/>
      <x:c r="K72" s="26" t="n">
        <x:f>IF(I72="","",H72*I72)</x:f>
        <x:v>4.760000000000001</x:v>
      </x:c>
      <x:c r="L72" s="26" t="str">
        <x:f>IF(J72="","",K72-J72)</x:f>
      </x:c>
      <x:c r="M72" s="23" t="str">
        <x:v>Арматура</x:v>
      </x:c>
      <x:c r="N72" s="23" t="n">
        <x:v>1100</x:v>
      </x:c>
      <x:c r="O72" s="23" t="str"/>
    </x:row>
    <x:row r="73" ht="54" customHeight="1">
      <x:c r="A73" s="23" t="str">
        <x:v>S60_ЛП1_П-2</x:v>
      </x:c>
      <x:c r="B73" s="23" t="n">
        <x:v>60</x:v>
      </x:c>
      <x:c r="C73" s="23" t="n">
        <x:v>70</x:v>
      </x:c>
      <x:c r="D73" s="23" t="str">
        <x:v>ЛП1</x:v>
      </x:c>
      <x:c r="E73" s="23" t="str">
        <x:v>П-2</x:v>
      </x:c>
      <x:c r="F73" s="23" t="str">
        <x:v>∅10 А500С; L=1080 мм; ГОСТ 34028-2016</x:v>
      </x:c>
      <x:c r="G73" s="23" t="str">
        <x:v>шт</x:v>
      </x:c>
      <x:c r="H73" s="28" t="n">
        <x:v>7</x:v>
      </x:c>
      <x:c r="I73" s="28" t="n">
        <x:v>0.67</x:v>
      </x:c>
      <x:c r="J73" s="28"/>
      <x:c r="K73" s="26" t="n">
        <x:f>IF(I73="","",H73*I73)</x:f>
        <x:v>4.69</x:v>
      </x:c>
      <x:c r="L73" s="26" t="str">
        <x:f>IF(J73="","",K73-J73)</x:f>
      </x:c>
      <x:c r="M73" s="23" t="str">
        <x:v>Арматура</x:v>
      </x:c>
      <x:c r="N73" s="23" t="n">
        <x:v>1080</x:v>
      </x:c>
      <x:c r="O73" s="23" t="str"/>
    </x:row>
    <x:row r="74" ht="54" customHeight="1">
      <x:c r="A74" s="23" t="str">
        <x:v>S60_ЛП1_Профлист</x:v>
      </x:c>
      <x:c r="B74" s="23" t="n">
        <x:v>60</x:v>
      </x:c>
      <x:c r="C74" s="23" t="n">
        <x:v>70</x:v>
      </x:c>
      <x:c r="D74" s="23" t="str">
        <x:v>ЛП1</x:v>
      </x:c>
      <x:c r="E74" s="23" t="str">
        <x:v>Профлист</x:v>
      </x:c>
      <x:c r="F74" s="23" t="str">
        <x:v>Профлист Н75-750-0,8; ГОСТ 24045-2016</x:v>
      </x:c>
      <x:c r="G74" s="23" t="str">
        <x:v>м²</x:v>
      </x:c>
      <x:c r="H74" s="28" t="n">
        <x:v>4</x:v>
      </x:c>
      <x:c r="I74" s="28"/>
      <x:c r="J74" s="28"/>
      <x:c r="K74" s="26" t="str">
        <x:f>IF(I74="","",H74*I74)</x:f>
      </x:c>
      <x:c r="L74" s="26" t="str">
        <x:f>IF(J74="","",K74-J74)</x:f>
      </x:c>
      <x:c r="M74" s="23" t="str">
        <x:v>Профлист</x:v>
      </x:c>
      <x:c r="N74" s="23"/>
      <x:c r="O74" s="23" t="str">
        <x:v>Количество по РД; не пересчитывалось по горизонтальной проекции площадки.</x:v>
      </x:c>
    </x:row>
    <x:row r="75" ht="54" customHeight="1">
      <x:c r="A75" s="23" t="str">
        <x:v>S60_ЛП1_Бетон</x:v>
      </x:c>
      <x:c r="B75" s="23" t="n">
        <x:v>60</x:v>
      </x:c>
      <x:c r="C75" s="23" t="n">
        <x:v>70</x:v>
      </x:c>
      <x:c r="D75" s="23" t="str">
        <x:v>ЛП1</x:v>
      </x:c>
      <x:c r="E75" s="23" t="str">
        <x:v>Бетон</x:v>
      </x:c>
      <x:c r="F75" s="23" t="str">
        <x:v>Тяжёлый бетон В25; ГОСТ 26633-2015</x:v>
      </x:c>
      <x:c r="G75" s="23" t="str">
        <x:v>м³</x:v>
      </x:c>
      <x:c r="H75" s="28" t="n">
        <x:v>0.6</x:v>
      </x:c>
      <x:c r="I75" s="28"/>
      <x:c r="J75" s="28"/>
      <x:c r="K75" s="26" t="str">
        <x:f>IF(I75="","",H75*I75)</x:f>
      </x:c>
      <x:c r="L75" s="26" t="str">
        <x:f>IF(J75="","",K75-J75)</x:f>
      </x:c>
      <x:c r="M75" s="23" t="str">
        <x:v>Бетон В25</x:v>
      </x:c>
      <x:c r="N75" s="23"/>
      <x:c r="O75" s="23" t="str"/>
    </x:row>
    <x:row r="76" ht="54" customHeight="1">
      <x:c r="A76" s="23" t="str">
        <x:v>S61_ЛП2_1</x:v>
      </x:c>
      <x:c r="B76" s="23" t="n">
        <x:v>61</x:v>
      </x:c>
      <x:c r="C76" s="23" t="n">
        <x:v>71</x:v>
      </x:c>
      <x:c r="D76" s="23" t="str">
        <x:v>ЛП2</x:v>
      </x:c>
      <x:c r="E76" s="23" t="str">
        <x:v>1</x:v>
      </x:c>
      <x:c r="F76" s="23" t="str">
        <x:v>∅10 А500С; L=2550 мм; ГОСТ 34028-2016</x:v>
      </x:c>
      <x:c r="G76" s="23" t="str">
        <x:v>шт</x:v>
      </x:c>
      <x:c r="H76" s="28" t="n">
        <x:v>10</x:v>
      </x:c>
      <x:c r="I76" s="28" t="n">
        <x:v>1.57</x:v>
      </x:c>
      <x:c r="J76" s="28"/>
      <x:c r="K76" s="26" t="n">
        <x:f>IF(I76="","",H76*I76)</x:f>
        <x:v>15.700000000000001</x:v>
      </x:c>
      <x:c r="L76" s="26" t="str">
        <x:f>IF(J76="","",K76-J76)</x:f>
      </x:c>
      <x:c r="M76" s="23" t="str">
        <x:v>Арматура</x:v>
      </x:c>
      <x:c r="N76" s="23" t="n">
        <x:v>2550</x:v>
      </x:c>
      <x:c r="O76" s="23" t="str"/>
    </x:row>
    <x:row r="77" ht="54" customHeight="1">
      <x:c r="A77" s="23" t="str">
        <x:v>S61_ЛП2_2</x:v>
      </x:c>
      <x:c r="B77" s="23" t="n">
        <x:v>61</x:v>
      </x:c>
      <x:c r="C77" s="23" t="n">
        <x:v>71</x:v>
      </x:c>
      <x:c r="D77" s="23" t="str">
        <x:v>ЛП2</x:v>
      </x:c>
      <x:c r="E77" s="23" t="str">
        <x:v>2</x:v>
      </x:c>
      <x:c r="F77" s="23" t="str">
        <x:v>∅10 А500С; L=1180 мм; ГОСТ 34028-2016</x:v>
      </x:c>
      <x:c r="G77" s="23" t="str">
        <x:v>шт</x:v>
      </x:c>
      <x:c r="H77" s="28" t="n">
        <x:v>1</x:v>
      </x:c>
      <x:c r="I77" s="28" t="n">
        <x:v>0.73</x:v>
      </x:c>
      <x:c r="J77" s="28"/>
      <x:c r="K77" s="26" t="n">
        <x:f>IF(I77="","",H77*I77)</x:f>
        <x:v>0.73</x:v>
      </x:c>
      <x:c r="L77" s="26" t="str">
        <x:f>IF(J77="","",K77-J77)</x:f>
      </x:c>
      <x:c r="M77" s="23" t="str">
        <x:v>Арматура</x:v>
      </x:c>
      <x:c r="N77" s="23" t="n">
        <x:v>1180</x:v>
      </x:c>
      <x:c r="O77" s="23" t="str"/>
    </x:row>
    <x:row r="78" ht="54" customHeight="1">
      <x:c r="A78" s="23" t="str">
        <x:v>S61_ЛП2_Кр-3</x:v>
      </x:c>
      <x:c r="B78" s="23" t="n">
        <x:v>61</x:v>
      </x:c>
      <x:c r="C78" s="23" t="n">
        <x:v>71</x:v>
      </x:c>
      <x:c r="D78" s="23" t="str">
        <x:v>ЛП2</x:v>
      </x:c>
      <x:c r="E78" s="23" t="str">
        <x:v>Кр-3</x:v>
      </x:c>
      <x:c r="F78" s="23" t="str">
        <x:v>Арматурный каркас Кр-3; лист 65</x:v>
      </x:c>
      <x:c r="G78" s="23" t="str">
        <x:v>шт</x:v>
      </x:c>
      <x:c r="H78" s="28" t="n">
        <x:v>7</x:v>
      </x:c>
      <x:c r="I78" s="28" t="n">
        <x:v>3.07</x:v>
      </x:c>
      <x:c r="J78" s="28"/>
      <x:c r="K78" s="26" t="n">
        <x:f>IF(I78="","",H78*I78)</x:f>
        <x:v>21.49</x:v>
      </x:c>
      <x:c r="L78" s="26" t="str">
        <x:f>IF(J78="","",K78-J78)</x:f>
      </x:c>
      <x:c r="M78" s="23" t="str">
        <x:v>Каркас</x:v>
      </x:c>
      <x:c r="N78" s="23"/>
      <x:c r="O78" s="23" t="str">
        <x:v>Сборочная строка. В ресурсах масса заменена деталями листа 65, не задваивается.</x:v>
      </x:c>
    </x:row>
    <x:row r="79" ht="54" customHeight="1">
      <x:c r="A79" s="23" t="str">
        <x:v>S61_ЛП2_Кр-4</x:v>
      </x:c>
      <x:c r="B79" s="23" t="n">
        <x:v>61</x:v>
      </x:c>
      <x:c r="C79" s="23" t="n">
        <x:v>71</x:v>
      </x:c>
      <x:c r="D79" s="23" t="str">
        <x:v>ЛП2</x:v>
      </x:c>
      <x:c r="E79" s="23" t="str">
        <x:v>Кр-4</x:v>
      </x:c>
      <x:c r="F79" s="23" t="str">
        <x:v>Арматурный каркас Кр-4; лист 65</x:v>
      </x:c>
      <x:c r="G79" s="23" t="str">
        <x:v>шт</x:v>
      </x:c>
      <x:c r="H79" s="28" t="n">
        <x:v>7</x:v>
      </x:c>
      <x:c r="I79" s="28" t="n">
        <x:v>2.93</x:v>
      </x:c>
      <x:c r="J79" s="28"/>
      <x:c r="K79" s="26" t="n">
        <x:f>IF(I79="","",H79*I79)</x:f>
        <x:v>20.51</x:v>
      </x:c>
      <x:c r="L79" s="26" t="str">
        <x:f>IF(J79="","",K79-J79)</x:f>
      </x:c>
      <x:c r="M79" s="23" t="str">
        <x:v>Каркас</x:v>
      </x:c>
      <x:c r="N79" s="23"/>
      <x:c r="O79" s="23" t="str">
        <x:v>Сборочная строка. В ресурсах масса заменена деталями листа 65, не задваивается.</x:v>
      </x:c>
    </x:row>
    <x:row r="80" ht="54" customHeight="1">
      <x:c r="A80" s="23" t="str">
        <x:v>S61_ЛП2_П-1</x:v>
      </x:c>
      <x:c r="B80" s="23" t="n">
        <x:v>61</x:v>
      </x:c>
      <x:c r="C80" s="23" t="n">
        <x:v>71</x:v>
      </x:c>
      <x:c r="D80" s="23" t="str">
        <x:v>ЛП2</x:v>
      </x:c>
      <x:c r="E80" s="23" t="str">
        <x:v>П-1</x:v>
      </x:c>
      <x:c r="F80" s="23" t="str">
        <x:v>∅10 А500С; L=1300 мм; ГОСТ 34028-2016</x:v>
      </x:c>
      <x:c r="G80" s="23" t="str">
        <x:v>шт</x:v>
      </x:c>
      <x:c r="H80" s="28" t="n">
        <x:v>7</x:v>
      </x:c>
      <x:c r="I80" s="28" t="n">
        <x:v>0.8</x:v>
      </x:c>
      <x:c r="J80" s="28"/>
      <x:c r="K80" s="26" t="n">
        <x:f>IF(I80="","",H80*I80)</x:f>
        <x:v>5.6000000000000005</x:v>
      </x:c>
      <x:c r="L80" s="26" t="str">
        <x:f>IF(J80="","",K80-J80)</x:f>
      </x:c>
      <x:c r="M80" s="23" t="str">
        <x:v>Арматура</x:v>
      </x:c>
      <x:c r="N80" s="23" t="n">
        <x:v>1300</x:v>
      </x:c>
      <x:c r="O80" s="23" t="str"/>
    </x:row>
    <x:row r="81" ht="54" customHeight="1">
      <x:c r="A81" s="23" t="str">
        <x:v>S61_ЛП2_П-2</x:v>
      </x:c>
      <x:c r="B81" s="23" t="n">
        <x:v>61</x:v>
      </x:c>
      <x:c r="C81" s="23" t="n">
        <x:v>71</x:v>
      </x:c>
      <x:c r="D81" s="23" t="str">
        <x:v>ЛП2</x:v>
      </x:c>
      <x:c r="E81" s="23" t="str">
        <x:v>П-2</x:v>
      </x:c>
      <x:c r="F81" s="23" t="str">
        <x:v>∅10 А500С; L=1080 мм; ГОСТ 34028-2016</x:v>
      </x:c>
      <x:c r="G81" s="23" t="str">
        <x:v>шт</x:v>
      </x:c>
      <x:c r="H81" s="28" t="n">
        <x:v>7</x:v>
      </x:c>
      <x:c r="I81" s="28" t="n">
        <x:v>0.67</x:v>
      </x:c>
      <x:c r="J81" s="28"/>
      <x:c r="K81" s="26" t="n">
        <x:f>IF(I81="","",H81*I81)</x:f>
        <x:v>4.69</x:v>
      </x:c>
      <x:c r="L81" s="26" t="str">
        <x:f>IF(J81="","",K81-J81)</x:f>
      </x:c>
      <x:c r="M81" s="23" t="str">
        <x:v>Арматура</x:v>
      </x:c>
      <x:c r="N81" s="23" t="n">
        <x:v>1080</x:v>
      </x:c>
      <x:c r="O81" s="23" t="str"/>
    </x:row>
    <x:row r="82" ht="54" customHeight="1">
      <x:c r="A82" s="23" t="str">
        <x:v>S61_ЛП2_Профлист</x:v>
      </x:c>
      <x:c r="B82" s="23" t="n">
        <x:v>61</x:v>
      </x:c>
      <x:c r="C82" s="23" t="n">
        <x:v>71</x:v>
      </x:c>
      <x:c r="D82" s="23" t="str">
        <x:v>ЛП2</x:v>
      </x:c>
      <x:c r="E82" s="23" t="str">
        <x:v>Профлист</x:v>
      </x:c>
      <x:c r="F82" s="23" t="str">
        <x:v>Профлист Н75-750-0,8; ГОСТ 24045-2016</x:v>
      </x:c>
      <x:c r="G82" s="23" t="str">
        <x:v>м²</x:v>
      </x:c>
      <x:c r="H82" s="28" t="n">
        <x:v>6.6</x:v>
      </x:c>
      <x:c r="I82" s="28"/>
      <x:c r="J82" s="28"/>
      <x:c r="K82" s="26" t="str">
        <x:f>IF(I82="","",H82*I82)</x:f>
      </x:c>
      <x:c r="L82" s="26" t="str">
        <x:f>IF(J82="","",K82-J82)</x:f>
      </x:c>
      <x:c r="M82" s="23" t="str">
        <x:v>Профлист</x:v>
      </x:c>
      <x:c r="N82" s="23"/>
      <x:c r="O82" s="23" t="str">
        <x:v>Количество по РД; не пересчитывалось по горизонтальной проекции площадки.</x:v>
      </x:c>
    </x:row>
    <x:row r="83" ht="54" customHeight="1">
      <x:c r="A83" s="23" t="str">
        <x:v>S61_ЛП2_Бетон</x:v>
      </x:c>
      <x:c r="B83" s="23" t="n">
        <x:v>61</x:v>
      </x:c>
      <x:c r="C83" s="23" t="n">
        <x:v>71</x:v>
      </x:c>
      <x:c r="D83" s="23" t="str">
        <x:v>ЛП2</x:v>
      </x:c>
      <x:c r="E83" s="23" t="str">
        <x:v>Бетон</x:v>
      </x:c>
      <x:c r="F83" s="23" t="str">
        <x:v>Тяжёлый бетон В25; ГОСТ 26633-2015</x:v>
      </x:c>
      <x:c r="G83" s="23" t="str">
        <x:v>м³</x:v>
      </x:c>
      <x:c r="H83" s="28" t="n">
        <x:v>0.9</x:v>
      </x:c>
      <x:c r="I83" s="28"/>
      <x:c r="J83" s="28"/>
      <x:c r="K83" s="26" t="str">
        <x:f>IF(I83="","",H83*I83)</x:f>
      </x:c>
      <x:c r="L83" s="26" t="str">
        <x:f>IF(J83="","",K83-J83)</x:f>
      </x:c>
      <x:c r="M83" s="23" t="str">
        <x:v>Бетон В25</x:v>
      </x:c>
      <x:c r="N83" s="23"/>
      <x:c r="O83" s="23" t="str"/>
    </x:row>
    <x:row r="84" ht="54" customHeight="1">
      <x:c r="A84" s="23" t="str">
        <x:v>S62_ЛП3_1</x:v>
      </x:c>
      <x:c r="B84" s="23" t="n">
        <x:v>62</x:v>
      </x:c>
      <x:c r="C84" s="23" t="n">
        <x:v>72</x:v>
      </x:c>
      <x:c r="D84" s="23" t="str">
        <x:v>ЛП3</x:v>
      </x:c>
      <x:c r="E84" s="23" t="str">
        <x:v>1</x:v>
      </x:c>
      <x:c r="F84" s="23" t="str">
        <x:v>∅10 А500С; L=2550 мм; ГОСТ 34028-2016</x:v>
      </x:c>
      <x:c r="G84" s="23" t="str">
        <x:v>шт</x:v>
      </x:c>
      <x:c r="H84" s="28" t="n">
        <x:v>7</x:v>
      </x:c>
      <x:c r="I84" s="28" t="n">
        <x:v>1.57</x:v>
      </x:c>
      <x:c r="J84" s="28"/>
      <x:c r="K84" s="26" t="n">
        <x:f>IF(I84="","",H84*I84)</x:f>
        <x:v>10.99</x:v>
      </x:c>
      <x:c r="L84" s="26" t="str">
        <x:f>IF(J84="","",K84-J84)</x:f>
      </x:c>
      <x:c r="M84" s="23" t="str">
        <x:v>Арматура</x:v>
      </x:c>
      <x:c r="N84" s="23" t="n">
        <x:v>2550</x:v>
      </x:c>
      <x:c r="O84" s="23" t="str"/>
    </x:row>
    <x:row r="85" ht="54" customHeight="1">
      <x:c r="A85" s="23" t="str">
        <x:v>S62_ЛП3_2</x:v>
      </x:c>
      <x:c r="B85" s="23" t="n">
        <x:v>62</x:v>
      </x:c>
      <x:c r="C85" s="23" t="n">
        <x:v>72</x:v>
      </x:c>
      <x:c r="D85" s="23" t="str">
        <x:v>ЛП3</x:v>
      </x:c>
      <x:c r="E85" s="23" t="str">
        <x:v>2</x:v>
      </x:c>
      <x:c r="F85" s="23" t="str">
        <x:v>∅10 А500С; L=1180 мм; ГОСТ 34028-2016</x:v>
      </x:c>
      <x:c r="G85" s="23" t="str">
        <x:v>шт</x:v>
      </x:c>
      <x:c r="H85" s="28" t="n">
        <x:v>1</x:v>
      </x:c>
      <x:c r="I85" s="28" t="n">
        <x:v>0.73</x:v>
      </x:c>
      <x:c r="J85" s="28"/>
      <x:c r="K85" s="26" t="n">
        <x:f>IF(I85="","",H85*I85)</x:f>
        <x:v>0.73</x:v>
      </x:c>
      <x:c r="L85" s="26" t="str">
        <x:f>IF(J85="","",K85-J85)</x:f>
      </x:c>
      <x:c r="M85" s="23" t="str">
        <x:v>Арматура</x:v>
      </x:c>
      <x:c r="N85" s="23" t="n">
        <x:v>1180</x:v>
      </x:c>
      <x:c r="O85" s="23" t="str"/>
    </x:row>
    <x:row r="86" ht="54" customHeight="1">
      <x:c r="A86" s="23" t="str">
        <x:v>S62_ЛП3_Кр-5</x:v>
      </x:c>
      <x:c r="B86" s="23" t="n">
        <x:v>62</x:v>
      </x:c>
      <x:c r="C86" s="23" t="n">
        <x:v>72</x:v>
      </x:c>
      <x:c r="D86" s="23" t="str">
        <x:v>ЛП3</x:v>
      </x:c>
      <x:c r="E86" s="23" t="str">
        <x:v>Кр-5</x:v>
      </x:c>
      <x:c r="F86" s="23" t="str">
        <x:v>Арматурный каркас Кр-5; лист 65</x:v>
      </x:c>
      <x:c r="G86" s="23" t="str">
        <x:v>шт</x:v>
      </x:c>
      <x:c r="H86" s="28" t="n">
        <x:v>7</x:v>
      </x:c>
      <x:c r="I86" s="28" t="n">
        <x:v>2.02</x:v>
      </x:c>
      <x:c r="J86" s="28"/>
      <x:c r="K86" s="26" t="n">
        <x:f>IF(I86="","",H86*I86)</x:f>
        <x:v>14.14</x:v>
      </x:c>
      <x:c r="L86" s="26" t="str">
        <x:f>IF(J86="","",K86-J86)</x:f>
      </x:c>
      <x:c r="M86" s="23" t="str">
        <x:v>Каркас</x:v>
      </x:c>
      <x:c r="N86" s="23"/>
      <x:c r="O86" s="23" t="str">
        <x:v>Сборочная строка. В ресурсах масса заменена деталями листа 65, не задваивается.</x:v>
      </x:c>
    </x:row>
    <x:row r="87" ht="54" customHeight="1">
      <x:c r="A87" s="23" t="str">
        <x:v>S62_ЛП3_Кр-6</x:v>
      </x:c>
      <x:c r="B87" s="23" t="n">
        <x:v>62</x:v>
      </x:c>
      <x:c r="C87" s="23" t="n">
        <x:v>72</x:v>
      </x:c>
      <x:c r="D87" s="23" t="str">
        <x:v>ЛП3</x:v>
      </x:c>
      <x:c r="E87" s="23" t="str">
        <x:v>Кр-6</x:v>
      </x:c>
      <x:c r="F87" s="23" t="str">
        <x:v>Арматурный каркас Кр-6; лист 65</x:v>
      </x:c>
      <x:c r="G87" s="23" t="str">
        <x:v>шт</x:v>
      </x:c>
      <x:c r="H87" s="28" t="n">
        <x:v>7</x:v>
      </x:c>
      <x:c r="I87" s="28" t="n">
        <x:v>1.96</x:v>
      </x:c>
      <x:c r="J87" s="28"/>
      <x:c r="K87" s="26" t="n">
        <x:f>IF(I87="","",H87*I87)</x:f>
        <x:v>13.719999999999999</x:v>
      </x:c>
      <x:c r="L87" s="26" t="str">
        <x:f>IF(J87="","",K87-J87)</x:f>
      </x:c>
      <x:c r="M87" s="23" t="str">
        <x:v>Каркас</x:v>
      </x:c>
      <x:c r="N87" s="23"/>
      <x:c r="O87" s="23" t="str">
        <x:v>Сборочная строка. В ресурсах масса заменена деталями листа 65, не задваивается.</x:v>
      </x:c>
    </x:row>
    <x:row r="88" ht="54" customHeight="1">
      <x:c r="A88" s="23" t="str">
        <x:v>S62_ЛП3_П-1</x:v>
      </x:c>
      <x:c r="B88" s="23" t="n">
        <x:v>62</x:v>
      </x:c>
      <x:c r="C88" s="23" t="n">
        <x:v>72</x:v>
      </x:c>
      <x:c r="D88" s="23" t="str">
        <x:v>ЛП3</x:v>
      </x:c>
      <x:c r="E88" s="23" t="str">
        <x:v>П-1</x:v>
      </x:c>
      <x:c r="F88" s="23" t="str">
        <x:v>∅10 А500С; L=1300 мм; ГОСТ 34028-2016</x:v>
      </x:c>
      <x:c r="G88" s="23" t="str">
        <x:v>шт</x:v>
      </x:c>
      <x:c r="H88" s="28" t="n">
        <x:v>7</x:v>
      </x:c>
      <x:c r="I88" s="28" t="n">
        <x:v>0.8</x:v>
      </x:c>
      <x:c r="J88" s="28"/>
      <x:c r="K88" s="26" t="n">
        <x:f>IF(I88="","",H88*I88)</x:f>
        <x:v>5.6000000000000005</x:v>
      </x:c>
      <x:c r="L88" s="26" t="str">
        <x:f>IF(J88="","",K88-J88)</x:f>
      </x:c>
      <x:c r="M88" s="23" t="str">
        <x:v>Арматура</x:v>
      </x:c>
      <x:c r="N88" s="23" t="n">
        <x:v>1300</x:v>
      </x:c>
      <x:c r="O88" s="23" t="str"/>
    </x:row>
    <x:row r="89" ht="54" customHeight="1">
      <x:c r="A89" s="23" t="str">
        <x:v>S62_ЛП3_П-2</x:v>
      </x:c>
      <x:c r="B89" s="23" t="n">
        <x:v>62</x:v>
      </x:c>
      <x:c r="C89" s="23" t="n">
        <x:v>72</x:v>
      </x:c>
      <x:c r="D89" s="23" t="str">
        <x:v>ЛП3</x:v>
      </x:c>
      <x:c r="E89" s="23" t="str">
        <x:v>П-2</x:v>
      </x:c>
      <x:c r="F89" s="23" t="str">
        <x:v>∅10 А500С; L=1080 мм; ГОСТ 34028-2016</x:v>
      </x:c>
      <x:c r="G89" s="23" t="str">
        <x:v>шт</x:v>
      </x:c>
      <x:c r="H89" s="28" t="n">
        <x:v>7</x:v>
      </x:c>
      <x:c r="I89" s="28" t="n">
        <x:v>0.67</x:v>
      </x:c>
      <x:c r="J89" s="28"/>
      <x:c r="K89" s="26" t="n">
        <x:f>IF(I89="","",H89*I89)</x:f>
        <x:v>4.69</x:v>
      </x:c>
      <x:c r="L89" s="26" t="str">
        <x:f>IF(J89="","",K89-J89)</x:f>
      </x:c>
      <x:c r="M89" s="23" t="str">
        <x:v>Арматура</x:v>
      </x:c>
      <x:c r="N89" s="23" t="n">
        <x:v>1080</x:v>
      </x:c>
      <x:c r="O89" s="23" t="str"/>
    </x:row>
    <x:row r="90" ht="54" customHeight="1">
      <x:c r="A90" s="23" t="str">
        <x:v>S62_ЛП3_Профлист</x:v>
      </x:c>
      <x:c r="B90" s="23" t="n">
        <x:v>62</x:v>
      </x:c>
      <x:c r="C90" s="23" t="n">
        <x:v>72</x:v>
      </x:c>
      <x:c r="D90" s="23" t="str">
        <x:v>ЛП3</x:v>
      </x:c>
      <x:c r="E90" s="23" t="str">
        <x:v>Профлист</x:v>
      </x:c>
      <x:c r="F90" s="23" t="str">
        <x:v>Профлист Н75-750-0,8; ГОСТ 24045-2016</x:v>
      </x:c>
      <x:c r="G90" s="23" t="str">
        <x:v>м²</x:v>
      </x:c>
      <x:c r="H90" s="28" t="n">
        <x:v>4.7</x:v>
      </x:c>
      <x:c r="I90" s="28"/>
      <x:c r="J90" s="28"/>
      <x:c r="K90" s="26" t="str">
        <x:f>IF(I90="","",H90*I90)</x:f>
      </x:c>
      <x:c r="L90" s="26" t="str">
        <x:f>IF(J90="","",K90-J90)</x:f>
      </x:c>
      <x:c r="M90" s="23" t="str">
        <x:v>Профлист</x:v>
      </x:c>
      <x:c r="N90" s="23"/>
      <x:c r="O90" s="23" t="str">
        <x:v>Количество по РД; не пересчитывалось по горизонтальной проекции площадки.</x:v>
      </x:c>
    </x:row>
    <x:row r="91" ht="54" customHeight="1">
      <x:c r="A91" s="23" t="str">
        <x:v>S62_ЛП3_Бетон</x:v>
      </x:c>
      <x:c r="B91" s="23" t="n">
        <x:v>62</x:v>
      </x:c>
      <x:c r="C91" s="23" t="n">
        <x:v>72</x:v>
      </x:c>
      <x:c r="D91" s="23" t="str">
        <x:v>ЛП3</x:v>
      </x:c>
      <x:c r="E91" s="23" t="str">
        <x:v>Бетон</x:v>
      </x:c>
      <x:c r="F91" s="23" t="str">
        <x:v>Тяжёлый бетон В25; ГОСТ 26633-2015</x:v>
      </x:c>
      <x:c r="G91" s="23" t="str">
        <x:v>м³</x:v>
      </x:c>
      <x:c r="H91" s="28" t="n">
        <x:v>0.7</x:v>
      </x:c>
      <x:c r="I91" s="28"/>
      <x:c r="J91" s="28"/>
      <x:c r="K91" s="26" t="str">
        <x:f>IF(I91="","",H91*I91)</x:f>
      </x:c>
      <x:c r="L91" s="26" t="str">
        <x:f>IF(J91="","",K91-J91)</x:f>
      </x:c>
      <x:c r="M91" s="23" t="str">
        <x:v>Бетон В25</x:v>
      </x:c>
      <x:c r="N91" s="23"/>
      <x:c r="O91" s="23" t="str"/>
    </x:row>
    <x:row r="92" ht="54" customHeight="1">
      <x:c r="A92" s="23" t="str">
        <x:v>S63_ЛП4_1</x:v>
      </x:c>
      <x:c r="B92" s="23" t="n">
        <x:v>63</x:v>
      </x:c>
      <x:c r="C92" s="23" t="n">
        <x:v>73</x:v>
      </x:c>
      <x:c r="D92" s="23" t="str">
        <x:v>ЛП4</x:v>
      </x:c>
      <x:c r="E92" s="23" t="str">
        <x:v>1</x:v>
      </x:c>
      <x:c r="F92" s="23" t="str">
        <x:v>∅10 А500С; L=2550 мм; ГОСТ 34028-2016</x:v>
      </x:c>
      <x:c r="G92" s="23" t="str">
        <x:v>шт</x:v>
      </x:c>
      <x:c r="H92" s="28" t="n">
        <x:v>9</x:v>
      </x:c>
      <x:c r="I92" s="28" t="n">
        <x:v>1.57</x:v>
      </x:c>
      <x:c r="J92" s="28"/>
      <x:c r="K92" s="26" t="n">
        <x:f>IF(I92="","",H92*I92)</x:f>
        <x:v>14.13</x:v>
      </x:c>
      <x:c r="L92" s="26" t="str">
        <x:f>IF(J92="","",K92-J92)</x:f>
      </x:c>
      <x:c r="M92" s="23" t="str">
        <x:v>Арматура</x:v>
      </x:c>
      <x:c r="N92" s="23" t="n">
        <x:v>2550</x:v>
      </x:c>
      <x:c r="O92" s="23" t="str"/>
    </x:row>
    <x:row r="93" ht="54" customHeight="1">
      <x:c r="A93" s="23" t="str">
        <x:v>S63_ЛП4_Кр-7</x:v>
      </x:c>
      <x:c r="B93" s="23" t="n">
        <x:v>63</x:v>
      </x:c>
      <x:c r="C93" s="23" t="n">
        <x:v>73</x:v>
      </x:c>
      <x:c r="D93" s="23" t="str">
        <x:v>ЛП4</x:v>
      </x:c>
      <x:c r="E93" s="23" t="str">
        <x:v>Кр-7</x:v>
      </x:c>
      <x:c r="F93" s="23" t="str">
        <x:v>Арматурный каркас Кр-7; лист 65</x:v>
      </x:c>
      <x:c r="G93" s="23" t="str">
        <x:v>шт</x:v>
      </x:c>
      <x:c r="H93" s="28" t="n">
        <x:v>14</x:v>
      </x:c>
      <x:c r="I93" s="28" t="n">
        <x:v>2.54</x:v>
      </x:c>
      <x:c r="J93" s="28"/>
      <x:c r="K93" s="26" t="n">
        <x:f>IF(I93="","",H93*I93)</x:f>
        <x:v>35.56</x:v>
      </x:c>
      <x:c r="L93" s="26" t="str">
        <x:f>IF(J93="","",K93-J93)</x:f>
      </x:c>
      <x:c r="M93" s="23" t="str">
        <x:v>Каркас</x:v>
      </x:c>
      <x:c r="N93" s="23"/>
      <x:c r="O93" s="23" t="str">
        <x:v>Сборочная строка. В ресурсах масса заменена деталями листа 65, не задваивается.</x:v>
      </x:c>
    </x:row>
    <x:row r="94" ht="54" customHeight="1">
      <x:c r="A94" s="23" t="str">
        <x:v>S63_ЛП4_П-2</x:v>
      </x:c>
      <x:c r="B94" s="23" t="n">
        <x:v>63</x:v>
      </x:c>
      <x:c r="C94" s="23" t="n">
        <x:v>73</x:v>
      </x:c>
      <x:c r="D94" s="23" t="str">
        <x:v>ЛП4</x:v>
      </x:c>
      <x:c r="E94" s="23" t="str">
        <x:v>П-2</x:v>
      </x:c>
      <x:c r="F94" s="23" t="str">
        <x:v>∅10 А500С; L=1080 мм; ГОСТ 34028-2016</x:v>
      </x:c>
      <x:c r="G94" s="23" t="str">
        <x:v>шт</x:v>
      </x:c>
      <x:c r="H94" s="28" t="n">
        <x:v>14</x:v>
      </x:c>
      <x:c r="I94" s="28" t="n">
        <x:v>0.67</x:v>
      </x:c>
      <x:c r="J94" s="28"/>
      <x:c r="K94" s="26" t="n">
        <x:f>IF(I94="","",H94*I94)</x:f>
        <x:v>9.38</x:v>
      </x:c>
      <x:c r="L94" s="26" t="str">
        <x:f>IF(J94="","",K94-J94)</x:f>
      </x:c>
      <x:c r="M94" s="23" t="str">
        <x:v>Арматура</x:v>
      </x:c>
      <x:c r="N94" s="23" t="n">
        <x:v>1080</x:v>
      </x:c>
      <x:c r="O94" s="23" t="str"/>
    </x:row>
    <x:row r="95" ht="54" customHeight="1">
      <x:c r="A95" s="23" t="str">
        <x:v>S63_ЛП4_Профлист</x:v>
      </x:c>
      <x:c r="B95" s="23" t="n">
        <x:v>63</x:v>
      </x:c>
      <x:c r="C95" s="23" t="n">
        <x:v>73</x:v>
      </x:c>
      <x:c r="D95" s="23" t="str">
        <x:v>ЛП4</x:v>
      </x:c>
      <x:c r="E95" s="23" t="str">
        <x:v>Профлист</x:v>
      </x:c>
      <x:c r="F95" s="23" t="str">
        <x:v>Профлист Н75-750-0,8; ГОСТ 24045-2016</x:v>
      </x:c>
      <x:c r="G95" s="23" t="str">
        <x:v>м²</x:v>
      </x:c>
      <x:c r="H95" s="28" t="n">
        <x:v>5.5</x:v>
      </x:c>
      <x:c r="I95" s="28"/>
      <x:c r="J95" s="28"/>
      <x:c r="K95" s="26" t="str">
        <x:f>IF(I95="","",H95*I95)</x:f>
      </x:c>
      <x:c r="L95" s="26" t="str">
        <x:f>IF(J95="","",K95-J95)</x:f>
      </x:c>
      <x:c r="M95" s="23" t="str">
        <x:v>Профлист</x:v>
      </x:c>
      <x:c r="N95" s="23"/>
      <x:c r="O95" s="23" t="str">
        <x:v>Количество по РД; не пересчитывалось по горизонтальной проекции площадки.</x:v>
      </x:c>
    </x:row>
    <x:row r="96" ht="54" customHeight="1">
      <x:c r="A96" s="23" t="str">
        <x:v>S63_ЛП4_Бетон</x:v>
      </x:c>
      <x:c r="B96" s="23" t="n">
        <x:v>63</x:v>
      </x:c>
      <x:c r="C96" s="23" t="n">
        <x:v>73</x:v>
      </x:c>
      <x:c r="D96" s="23" t="str">
        <x:v>ЛП4</x:v>
      </x:c>
      <x:c r="E96" s="23" t="str">
        <x:v>Бетон</x:v>
      </x:c>
      <x:c r="F96" s="23" t="str">
        <x:v>Тяжёлый бетон В25; ГОСТ 26633-2015</x:v>
      </x:c>
      <x:c r="G96" s="23" t="str">
        <x:v>м³</x:v>
      </x:c>
      <x:c r="H96" s="28" t="n">
        <x:v>0.8</x:v>
      </x:c>
      <x:c r="I96" s="28"/>
      <x:c r="J96" s="28"/>
      <x:c r="K96" s="26" t="str">
        <x:f>IF(I96="","",H96*I96)</x:f>
      </x:c>
      <x:c r="L96" s="26" t="str">
        <x:f>IF(J96="","",K96-J96)</x:f>
      </x:c>
      <x:c r="M96" s="23" t="str">
        <x:v>Бетон В25</x:v>
      </x:c>
      <x:c r="N96" s="23"/>
      <x:c r="O96" s="23" t="str"/>
    </x:row>
    <x:row r="97" ht="54" customHeight="1">
      <x:c r="A97" s="23" t="str">
        <x:v>S65_Кр-1_1</x:v>
      </x:c>
      <x:c r="B97" s="23" t="n">
        <x:v>65</x:v>
      </x:c>
      <x:c r="C97" s="23" t="n">
        <x:v>75</x:v>
      </x:c>
      <x:c r="D97" s="23" t="str">
        <x:v>Кр-1</x:v>
      </x:c>
      <x:c r="E97" s="23" t="str">
        <x:v>1</x:v>
      </x:c>
      <x:c r="F97" s="23" t="str">
        <x:v>∅10 А500С; L=1230 мм; ГОСТ 34028-2016</x:v>
      </x:c>
      <x:c r="G97" s="23" t="str">
        <x:v>шт</x:v>
      </x:c>
      <x:c r="H97" s="28" t="n">
        <x:v>1</x:v>
      </x:c>
      <x:c r="I97" s="28" t="n">
        <x:v>0.76</x:v>
      </x:c>
      <x:c r="J97" s="28"/>
      <x:c r="K97" s="26" t="n">
        <x:f>IF(I97="","",H97*I97)</x:f>
        <x:v>0.76</x:v>
      </x:c>
      <x:c r="L97" s="26" t="str">
        <x:f>IF(J97="","",K97-J97)</x:f>
      </x:c>
      <x:c r="M97" s="23" t="str">
        <x:v>Арматура</x:v>
      </x:c>
      <x:c r="N97" s="23" t="n">
        <x:v>1230</x:v>
      </x:c>
      <x:c r="O97" s="23" t="str"/>
    </x:row>
    <x:row r="98" ht="54" customHeight="1">
      <x:c r="A98" s="23" t="str">
        <x:v>S65_Кр-1_2</x:v>
      </x:c>
      <x:c r="B98" s="23" t="n">
        <x:v>65</x:v>
      </x:c>
      <x:c r="C98" s="23" t="n">
        <x:v>75</x:v>
      </x:c>
      <x:c r="D98" s="23" t="str">
        <x:v>Кр-1</x:v>
      </x:c>
      <x:c r="E98" s="23" t="str">
        <x:v>2</x:v>
      </x:c>
      <x:c r="F98" s="23" t="str">
        <x:v>∅10 А500С; L=1060 мм; ГОСТ 34028-2016</x:v>
      </x:c>
      <x:c r="G98" s="23" t="str">
        <x:v>шт</x:v>
      </x:c>
      <x:c r="H98" s="28" t="n">
        <x:v>1</x:v>
      </x:c>
      <x:c r="I98" s="28" t="n">
        <x:v>0.65</x:v>
      </x:c>
      <x:c r="J98" s="28"/>
      <x:c r="K98" s="26" t="n">
        <x:f>IF(I98="","",H98*I98)</x:f>
        <x:v>0.65</x:v>
      </x:c>
      <x:c r="L98" s="26" t="str">
        <x:f>IF(J98="","",K98-J98)</x:f>
      </x:c>
      <x:c r="M98" s="23" t="str">
        <x:v>Арматура</x:v>
      </x:c>
      <x:c r="N98" s="23" t="n">
        <x:v>1060</x:v>
      </x:c>
      <x:c r="O98" s="23" t="str"/>
    </x:row>
    <x:row r="99" ht="54" customHeight="1">
      <x:c r="A99" s="23" t="str">
        <x:v>S65_Кр-1_3</x:v>
      </x:c>
      <x:c r="B99" s="23" t="n">
        <x:v>65</x:v>
      </x:c>
      <x:c r="C99" s="23" t="n">
        <x:v>75</x:v>
      </x:c>
      <x:c r="D99" s="23" t="str">
        <x:v>Кр-1</x:v>
      </x:c>
      <x:c r="E99" s="23" t="str">
        <x:v>3</x:v>
      </x:c>
      <x:c r="F99" s="23" t="str">
        <x:v>∅10 А500С; L=130 мм; ГОСТ 34028-2016</x:v>
      </x:c>
      <x:c r="G99" s="23" t="str">
        <x:v>шт</x:v>
      </x:c>
      <x:c r="H99" s="28" t="n">
        <x:v>6</x:v>
      </x:c>
      <x:c r="I99" s="28" t="n">
        <x:v>0.08</x:v>
      </x:c>
      <x:c r="J99" s="28"/>
      <x:c r="K99" s="26" t="n">
        <x:f>IF(I99="","",H99*I99)</x:f>
        <x:v>0.48</x:v>
      </x:c>
      <x:c r="L99" s="26" t="str">
        <x:f>IF(J99="","",K99-J99)</x:f>
      </x:c>
      <x:c r="M99" s="23" t="str">
        <x:v>Арматура</x:v>
      </x:c>
      <x:c r="N99" s="23" t="n">
        <x:v>130</x:v>
      </x:c>
      <x:c r="O99" s="23" t="str"/>
    </x:row>
    <x:row r="100" ht="54" customHeight="1">
      <x:c r="A100" s="23" t="str">
        <x:v>S65_Кр-2_4</x:v>
      </x:c>
      <x:c r="B100" s="23" t="n">
        <x:v>65</x:v>
      </x:c>
      <x:c r="C100" s="23" t="n">
        <x:v>75</x:v>
      </x:c>
      <x:c r="D100" s="23" t="str">
        <x:v>Кр-2</x:v>
      </x:c>
      <x:c r="E100" s="23" t="str">
        <x:v>4</x:v>
      </x:c>
      <x:c r="F100" s="23" t="str">
        <x:v>∅10 А500С; L=1130 мм; ГОСТ 34028-2016</x:v>
      </x:c>
      <x:c r="G100" s="23" t="str">
        <x:v>шт</x:v>
      </x:c>
      <x:c r="H100" s="28" t="n">
        <x:v>1</x:v>
      </x:c>
      <x:c r="I100" s="28" t="n">
        <x:v>0.7</x:v>
      </x:c>
      <x:c r="J100" s="28"/>
      <x:c r="K100" s="26" t="n">
        <x:f>IF(I100="","",H100*I100)</x:f>
        <x:v>0.7</x:v>
      </x:c>
      <x:c r="L100" s="26" t="str">
        <x:f>IF(J100="","",K100-J100)</x:f>
      </x:c>
      <x:c r="M100" s="23" t="str">
        <x:v>Арматура</x:v>
      </x:c>
      <x:c r="N100" s="23" t="n">
        <x:v>1130</x:v>
      </x:c>
      <x:c r="O100" s="23" t="str"/>
    </x:row>
    <x:row r="101" ht="54" customHeight="1">
      <x:c r="A101" s="23" t="str">
        <x:v>S65_Кр-2_2</x:v>
      </x:c>
      <x:c r="B101" s="23" t="n">
        <x:v>65</x:v>
      </x:c>
      <x:c r="C101" s="23" t="n">
        <x:v>75</x:v>
      </x:c>
      <x:c r="D101" s="23" t="str">
        <x:v>Кр-2</x:v>
      </x:c>
      <x:c r="E101" s="23" t="str">
        <x:v>2</x:v>
      </x:c>
      <x:c r="F101" s="23" t="str">
        <x:v>∅10 А500С; L=1060 мм; ГОСТ 34028-2016</x:v>
      </x:c>
      <x:c r="G101" s="23" t="str">
        <x:v>шт</x:v>
      </x:c>
      <x:c r="H101" s="28" t="n">
        <x:v>1</x:v>
      </x:c>
      <x:c r="I101" s="28" t="n">
        <x:v>0.65</x:v>
      </x:c>
      <x:c r="J101" s="28"/>
      <x:c r="K101" s="26" t="n">
        <x:f>IF(I101="","",H101*I101)</x:f>
        <x:v>0.65</x:v>
      </x:c>
      <x:c r="L101" s="26" t="str">
        <x:f>IF(J101="","",K101-J101)</x:f>
      </x:c>
      <x:c r="M101" s="23" t="str">
        <x:v>Арматура</x:v>
      </x:c>
      <x:c r="N101" s="23" t="n">
        <x:v>1060</x:v>
      </x:c>
      <x:c r="O101" s="23" t="str"/>
    </x:row>
    <x:row r="102" ht="54" customHeight="1">
      <x:c r="A102" s="23" t="str">
        <x:v>S65_Кр-2_3</x:v>
      </x:c>
      <x:c r="B102" s="23" t="n">
        <x:v>65</x:v>
      </x:c>
      <x:c r="C102" s="23" t="n">
        <x:v>75</x:v>
      </x:c>
      <x:c r="D102" s="23" t="str">
        <x:v>Кр-2</x:v>
      </x:c>
      <x:c r="E102" s="23" t="str">
        <x:v>3</x:v>
      </x:c>
      <x:c r="F102" s="23" t="str">
        <x:v>∅10 А500С; L=130 мм; ГОСТ 34028-2016</x:v>
      </x:c>
      <x:c r="G102" s="23" t="str">
        <x:v>шт</x:v>
      </x:c>
      <x:c r="H102" s="28" t="n">
        <x:v>6</x:v>
      </x:c>
      <x:c r="I102" s="28" t="n">
        <x:v>0.08</x:v>
      </x:c>
      <x:c r="J102" s="28"/>
      <x:c r="K102" s="26" t="n">
        <x:f>IF(I102="","",H102*I102)</x:f>
        <x:v>0.48</x:v>
      </x:c>
      <x:c r="L102" s="26" t="str">
        <x:f>IF(J102="","",K102-J102)</x:f>
      </x:c>
      <x:c r="M102" s="23" t="str">
        <x:v>Арматура</x:v>
      </x:c>
      <x:c r="N102" s="23" t="n">
        <x:v>130</x:v>
      </x:c>
      <x:c r="O102" s="23" t="str"/>
    </x:row>
    <x:row r="103" ht="54" customHeight="1">
      <x:c r="A103" s="23" t="str">
        <x:v>S65_Кр-3_5</x:v>
      </x:c>
      <x:c r="B103" s="23" t="n">
        <x:v>65</x:v>
      </x:c>
      <x:c r="C103" s="23" t="n">
        <x:v>75</x:v>
      </x:c>
      <x:c r="D103" s="23" t="str">
        <x:v>Кр-3</x:v>
      </x:c>
      <x:c r="E103" s="23" t="str">
        <x:v>5</x:v>
      </x:c>
      <x:c r="F103" s="23" t="str">
        <x:v>∅10 А500С; L=1930 мм; ГОСТ 34028-2016</x:v>
      </x:c>
      <x:c r="G103" s="23" t="str">
        <x:v>шт</x:v>
      </x:c>
      <x:c r="H103" s="28" t="n">
        <x:v>1</x:v>
      </x:c>
      <x:c r="I103" s="28" t="n">
        <x:v>1.19</x:v>
      </x:c>
      <x:c r="J103" s="28"/>
      <x:c r="K103" s="26" t="n">
        <x:f>IF(I103="","",H103*I103)</x:f>
        <x:v>1.19</x:v>
      </x:c>
      <x:c r="L103" s="26" t="str">
        <x:f>IF(J103="","",K103-J103)</x:f>
      </x:c>
      <x:c r="M103" s="23" t="str">
        <x:v>Арматура</x:v>
      </x:c>
      <x:c r="N103" s="23" t="n">
        <x:v>1930</x:v>
      </x:c>
      <x:c r="O103" s="23" t="str"/>
    </x:row>
    <x:row r="104" ht="54" customHeight="1">
      <x:c r="A104" s="23" t="str">
        <x:v>S65_Кр-3_6</x:v>
      </x:c>
      <x:c r="B104" s="23" t="n">
        <x:v>65</x:v>
      </x:c>
      <x:c r="C104" s="23" t="n">
        <x:v>75</x:v>
      </x:c>
      <x:c r="D104" s="23" t="str">
        <x:v>Кр-3</x:v>
      </x:c>
      <x:c r="E104" s="23" t="str">
        <x:v>6</x:v>
      </x:c>
      <x:c r="F104" s="23" t="str">
        <x:v>∅10 А500С; L=1750 мм; ГОСТ 34028-2016</x:v>
      </x:c>
      <x:c r="G104" s="23" t="str">
        <x:v>шт</x:v>
      </x:c>
      <x:c r="H104" s="28" t="n">
        <x:v>1</x:v>
      </x:c>
      <x:c r="I104" s="28" t="n">
        <x:v>1.08</x:v>
      </x:c>
      <x:c r="J104" s="28"/>
      <x:c r="K104" s="26" t="n">
        <x:f>IF(I104="","",H104*I104)</x:f>
        <x:v>1.08</x:v>
      </x:c>
      <x:c r="L104" s="26" t="str">
        <x:f>IF(J104="","",K104-J104)</x:f>
      </x:c>
      <x:c r="M104" s="23" t="str">
        <x:v>Арматура</x:v>
      </x:c>
      <x:c r="N104" s="23" t="n">
        <x:v>1750</x:v>
      </x:c>
      <x:c r="O104" s="23" t="str"/>
    </x:row>
    <x:row r="105" ht="54" customHeight="1">
      <x:c r="A105" s="23" t="str">
        <x:v>S65_Кр-3_3</x:v>
      </x:c>
      <x:c r="B105" s="23" t="n">
        <x:v>65</x:v>
      </x:c>
      <x:c r="C105" s="23" t="n">
        <x:v>75</x:v>
      </x:c>
      <x:c r="D105" s="23" t="str">
        <x:v>Кр-3</x:v>
      </x:c>
      <x:c r="E105" s="23" t="str">
        <x:v>3</x:v>
      </x:c>
      <x:c r="F105" s="23" t="str">
        <x:v>∅10 А500С; L=130 мм; ГОСТ 34028-2016</x:v>
      </x:c>
      <x:c r="G105" s="23" t="str">
        <x:v>шт</x:v>
      </x:c>
      <x:c r="H105" s="28" t="n">
        <x:v>10</x:v>
      </x:c>
      <x:c r="I105" s="28" t="n">
        <x:v>0.08</x:v>
      </x:c>
      <x:c r="J105" s="28"/>
      <x:c r="K105" s="26" t="n">
        <x:f>IF(I105="","",H105*I105)</x:f>
        <x:v>0.8</x:v>
      </x:c>
      <x:c r="L105" s="26" t="str">
        <x:f>IF(J105="","",K105-J105)</x:f>
      </x:c>
      <x:c r="M105" s="23" t="str">
        <x:v>Арматура</x:v>
      </x:c>
      <x:c r="N105" s="23" t="n">
        <x:v>130</x:v>
      </x:c>
      <x:c r="O105" s="23" t="str"/>
    </x:row>
    <x:row r="106" ht="54" customHeight="1">
      <x:c r="A106" s="23" t="str">
        <x:v>S65_Кр-4_7</x:v>
      </x:c>
      <x:c r="B106" s="23" t="n">
        <x:v>65</x:v>
      </x:c>
      <x:c r="C106" s="23" t="n">
        <x:v>75</x:v>
      </x:c>
      <x:c r="D106" s="23" t="str">
        <x:v>Кр-4</x:v>
      </x:c>
      <x:c r="E106" s="23" t="str">
        <x:v>7</x:v>
      </x:c>
      <x:c r="F106" s="23" t="str">
        <x:v>∅10 А500С; L=1830 мм; ГОСТ 34028-2016</x:v>
      </x:c>
      <x:c r="G106" s="23" t="str">
        <x:v>шт</x:v>
      </x:c>
      <x:c r="H106" s="28" t="n">
        <x:v>1</x:v>
      </x:c>
      <x:c r="I106" s="28" t="n">
        <x:v>1.13</x:v>
      </x:c>
      <x:c r="J106" s="28"/>
      <x:c r="K106" s="26" t="n">
        <x:f>IF(I106="","",H106*I106)</x:f>
        <x:v>1.13</x:v>
      </x:c>
      <x:c r="L106" s="26" t="str">
        <x:f>IF(J106="","",K106-J106)</x:f>
      </x:c>
      <x:c r="M106" s="23" t="str">
        <x:v>Арматура</x:v>
      </x:c>
      <x:c r="N106" s="23" t="n">
        <x:v>1830</x:v>
      </x:c>
      <x:c r="O106" s="23" t="str"/>
    </x:row>
    <x:row r="107" ht="54" customHeight="1">
      <x:c r="A107" s="23" t="str">
        <x:v>S65_Кр-4_6</x:v>
      </x:c>
      <x:c r="B107" s="23" t="n">
        <x:v>65</x:v>
      </x:c>
      <x:c r="C107" s="23" t="n">
        <x:v>75</x:v>
      </x:c>
      <x:c r="D107" s="23" t="str">
        <x:v>Кр-4</x:v>
      </x:c>
      <x:c r="E107" s="23" t="str">
        <x:v>6</x:v>
      </x:c>
      <x:c r="F107" s="23" t="str">
        <x:v>∅10 А500С; L=1750 мм; ГОСТ 34028-2016</x:v>
      </x:c>
      <x:c r="G107" s="23" t="str">
        <x:v>шт</x:v>
      </x:c>
      <x:c r="H107" s="28" t="n">
        <x:v>1</x:v>
      </x:c>
      <x:c r="I107" s="28" t="n">
        <x:v>1.08</x:v>
      </x:c>
      <x:c r="J107" s="28"/>
      <x:c r="K107" s="26" t="n">
        <x:f>IF(I107="","",H107*I107)</x:f>
        <x:v>1.08</x:v>
      </x:c>
      <x:c r="L107" s="26" t="str">
        <x:f>IF(J107="","",K107-J107)</x:f>
      </x:c>
      <x:c r="M107" s="23" t="str">
        <x:v>Арматура</x:v>
      </x:c>
      <x:c r="N107" s="23" t="n">
        <x:v>1750</x:v>
      </x:c>
      <x:c r="O107" s="23" t="str"/>
    </x:row>
    <x:row r="108" ht="54" customHeight="1">
      <x:c r="A108" s="23" t="str">
        <x:v>S65_Кр-4_3</x:v>
      </x:c>
      <x:c r="B108" s="23" t="n">
        <x:v>65</x:v>
      </x:c>
      <x:c r="C108" s="23" t="n">
        <x:v>75</x:v>
      </x:c>
      <x:c r="D108" s="23" t="str">
        <x:v>Кр-4</x:v>
      </x:c>
      <x:c r="E108" s="23" t="str">
        <x:v>3</x:v>
      </x:c>
      <x:c r="F108" s="23" t="str">
        <x:v>∅10 А500С; L=130 мм; ГОСТ 34028-2016</x:v>
      </x:c>
      <x:c r="G108" s="23" t="str">
        <x:v>шт</x:v>
      </x:c>
      <x:c r="H108" s="28" t="n">
        <x:v>9</x:v>
      </x:c>
      <x:c r="I108" s="28" t="n">
        <x:v>0.08</x:v>
      </x:c>
      <x:c r="J108" s="28"/>
      <x:c r="K108" s="26" t="n">
        <x:f>IF(I108="","",H108*I108)</x:f>
        <x:v>0.72</x:v>
      </x:c>
      <x:c r="L108" s="26" t="str">
        <x:f>IF(J108="","",K108-J108)</x:f>
      </x:c>
      <x:c r="M108" s="23" t="str">
        <x:v>Арматура</x:v>
      </x:c>
      <x:c r="N108" s="23" t="n">
        <x:v>130</x:v>
      </x:c>
      <x:c r="O108" s="23" t="str"/>
    </x:row>
    <x:row r="109" ht="54" customHeight="1">
      <x:c r="A109" s="23" t="str">
        <x:v>S65_Кр-5_8</x:v>
      </x:c>
      <x:c r="B109" s="23" t="n">
        <x:v>65</x:v>
      </x:c>
      <x:c r="C109" s="23" t="n">
        <x:v>75</x:v>
      </x:c>
      <x:c r="D109" s="23" t="str">
        <x:v>Кр-5</x:v>
      </x:c>
      <x:c r="E109" s="23" t="str">
        <x:v>8</x:v>
      </x:c>
      <x:c r="F109" s="23" t="str">
        <x:v>∅10 А500С; L=1350 мм; ГОСТ 34028-2016</x:v>
      </x:c>
      <x:c r="G109" s="23" t="str">
        <x:v>шт</x:v>
      </x:c>
      <x:c r="H109" s="28" t="n">
        <x:v>1</x:v>
      </x:c>
      <x:c r="I109" s="28" t="n">
        <x:v>0.83</x:v>
      </x:c>
      <x:c r="J109" s="28"/>
      <x:c r="K109" s="26" t="n">
        <x:f>IF(I109="","",H109*I109)</x:f>
        <x:v>0.83</x:v>
      </x:c>
      <x:c r="L109" s="26" t="str">
        <x:f>IF(J109="","",K109-J109)</x:f>
      </x:c>
      <x:c r="M109" s="23" t="str">
        <x:v>Арматура</x:v>
      </x:c>
      <x:c r="N109" s="23" t="n">
        <x:v>1350</x:v>
      </x:c>
      <x:c r="O109" s="23" t="str"/>
    </x:row>
    <x:row r="110" ht="54" customHeight="1">
      <x:c r="A110" s="23" t="str">
        <x:v>S65_Кр-5_9</x:v>
      </x:c>
      <x:c r="B110" s="23" t="n">
        <x:v>65</x:v>
      </x:c>
      <x:c r="C110" s="23" t="n">
        <x:v>75</x:v>
      </x:c>
      <x:c r="D110" s="23" t="str">
        <x:v>Кр-5</x:v>
      </x:c>
      <x:c r="E110" s="23" t="str">
        <x:v>9</x:v>
      </x:c>
      <x:c r="F110" s="23" t="str">
        <x:v>∅10 А500С; L=1150 мм; ГОСТ 34028-2016</x:v>
      </x:c>
      <x:c r="G110" s="23" t="str">
        <x:v>шт</x:v>
      </x:c>
      <x:c r="H110" s="28" t="n">
        <x:v>1</x:v>
      </x:c>
      <x:c r="I110" s="28" t="n">
        <x:v>0.71</x:v>
      </x:c>
      <x:c r="J110" s="28"/>
      <x:c r="K110" s="26" t="n">
        <x:f>IF(I110="","",H110*I110)</x:f>
        <x:v>0.71</x:v>
      </x:c>
      <x:c r="L110" s="26" t="str">
        <x:f>IF(J110="","",K110-J110)</x:f>
      </x:c>
      <x:c r="M110" s="23" t="str">
        <x:v>Арматура</x:v>
      </x:c>
      <x:c r="N110" s="23" t="n">
        <x:v>1150</x:v>
      </x:c>
      <x:c r="O110" s="23" t="str"/>
    </x:row>
    <x:row r="111" ht="54" customHeight="1">
      <x:c r="A111" s="23" t="str">
        <x:v>S65_Кр-5_3</x:v>
      </x:c>
      <x:c r="B111" s="23" t="n">
        <x:v>65</x:v>
      </x:c>
      <x:c r="C111" s="23" t="n">
        <x:v>75</x:v>
      </x:c>
      <x:c r="D111" s="23" t="str">
        <x:v>Кр-5</x:v>
      </x:c>
      <x:c r="E111" s="23" t="str">
        <x:v>3</x:v>
      </x:c>
      <x:c r="F111" s="23" t="str">
        <x:v>∅10 А500С; L=130 мм; ГОСТ 34028-2016</x:v>
      </x:c>
      <x:c r="G111" s="23" t="str">
        <x:v>шт</x:v>
      </x:c>
      <x:c r="H111" s="28" t="n">
        <x:v>6</x:v>
      </x:c>
      <x:c r="I111" s="28" t="n">
        <x:v>0.08</x:v>
      </x:c>
      <x:c r="J111" s="28"/>
      <x:c r="K111" s="26" t="n">
        <x:f>IF(I111="","",H111*I111)</x:f>
        <x:v>0.48</x:v>
      </x:c>
      <x:c r="L111" s="26" t="str">
        <x:f>IF(J111="","",K111-J111)</x:f>
      </x:c>
      <x:c r="M111" s="23" t="str">
        <x:v>Арматура</x:v>
      </x:c>
      <x:c r="N111" s="23" t="n">
        <x:v>130</x:v>
      </x:c>
      <x:c r="O111" s="23" t="str"/>
    </x:row>
    <x:row r="112" ht="54" customHeight="1">
      <x:c r="A112" s="23" t="str">
        <x:v>S65_Кр-6_10</x:v>
      </x:c>
      <x:c r="B112" s="23" t="n">
        <x:v>65</x:v>
      </x:c>
      <x:c r="C112" s="23" t="n">
        <x:v>75</x:v>
      </x:c>
      <x:c r="D112" s="23" t="str">
        <x:v>Кр-6</x:v>
      </x:c>
      <x:c r="E112" s="23" t="str">
        <x:v>10</x:v>
      </x:c>
      <x:c r="F112" s="23" t="str">
        <x:v>∅10 А500С; L=1250 мм; ГОСТ 34028-2016</x:v>
      </x:c>
      <x:c r="G112" s="23" t="str">
        <x:v>шт</x:v>
      </x:c>
      <x:c r="H112" s="28" t="n">
        <x:v>1</x:v>
      </x:c>
      <x:c r="I112" s="28" t="n">
        <x:v>0.77</x:v>
      </x:c>
      <x:c r="J112" s="28"/>
      <x:c r="K112" s="26" t="n">
        <x:f>IF(I112="","",H112*I112)</x:f>
        <x:v>0.77</x:v>
      </x:c>
      <x:c r="L112" s="26" t="str">
        <x:f>IF(J112="","",K112-J112)</x:f>
      </x:c>
      <x:c r="M112" s="23" t="str">
        <x:v>Арматура</x:v>
      </x:c>
      <x:c r="N112" s="23" t="n">
        <x:v>1250</x:v>
      </x:c>
      <x:c r="O112" s="23" t="str"/>
    </x:row>
    <x:row r="113" ht="54" customHeight="1">
      <x:c r="A113" s="23" t="str">
        <x:v>S65_Кр-6_9</x:v>
      </x:c>
      <x:c r="B113" s="23" t="n">
        <x:v>65</x:v>
      </x:c>
      <x:c r="C113" s="23" t="n">
        <x:v>75</x:v>
      </x:c>
      <x:c r="D113" s="23" t="str">
        <x:v>Кр-6</x:v>
      </x:c>
      <x:c r="E113" s="23" t="str">
        <x:v>9</x:v>
      </x:c>
      <x:c r="F113" s="23" t="str">
        <x:v>∅10 А500С; L=1150 мм; ГОСТ 34028-2016</x:v>
      </x:c>
      <x:c r="G113" s="23" t="str">
        <x:v>шт</x:v>
      </x:c>
      <x:c r="H113" s="28" t="n">
        <x:v>1</x:v>
      </x:c>
      <x:c r="I113" s="28" t="n">
        <x:v>0.71</x:v>
      </x:c>
      <x:c r="J113" s="28"/>
      <x:c r="K113" s="26" t="n">
        <x:f>IF(I113="","",H113*I113)</x:f>
        <x:v>0.71</x:v>
      </x:c>
      <x:c r="L113" s="26" t="str">
        <x:f>IF(J113="","",K113-J113)</x:f>
      </x:c>
      <x:c r="M113" s="23" t="str">
        <x:v>Арматура</x:v>
      </x:c>
      <x:c r="N113" s="23" t="n">
        <x:v>1150</x:v>
      </x:c>
      <x:c r="O113" s="23" t="str"/>
    </x:row>
    <x:row r="114" ht="54" customHeight="1">
      <x:c r="A114" s="23" t="str">
        <x:v>S65_Кр-6_3</x:v>
      </x:c>
      <x:c r="B114" s="23" t="n">
        <x:v>65</x:v>
      </x:c>
      <x:c r="C114" s="23" t="n">
        <x:v>75</x:v>
      </x:c>
      <x:c r="D114" s="23" t="str">
        <x:v>Кр-6</x:v>
      </x:c>
      <x:c r="E114" s="23" t="str">
        <x:v>3</x:v>
      </x:c>
      <x:c r="F114" s="23" t="str">
        <x:v>∅10 А500С; L=130 мм; ГОСТ 34028-2016</x:v>
      </x:c>
      <x:c r="G114" s="23" t="str">
        <x:v>шт</x:v>
      </x:c>
      <x:c r="H114" s="28" t="n">
        <x:v>6</x:v>
      </x:c>
      <x:c r="I114" s="28" t="n">
        <x:v>0.08</x:v>
      </x:c>
      <x:c r="J114" s="28"/>
      <x:c r="K114" s="26" t="n">
        <x:f>IF(I114="","",H114*I114)</x:f>
        <x:v>0.48</x:v>
      </x:c>
      <x:c r="L114" s="26" t="str">
        <x:f>IF(J114="","",K114-J114)</x:f>
      </x:c>
      <x:c r="M114" s="23" t="str">
        <x:v>Арматура</x:v>
      </x:c>
      <x:c r="N114" s="23" t="n">
        <x:v>130</x:v>
      </x:c>
      <x:c r="O114" s="23" t="str"/>
    </x:row>
    <x:row r="115" ht="54" customHeight="1">
      <x:c r="A115" s="23" t="str">
        <x:v>S65_Кр-7_11</x:v>
      </x:c>
      <x:c r="B115" s="23" t="n">
        <x:v>65</x:v>
      </x:c>
      <x:c r="C115" s="23" t="n">
        <x:v>75</x:v>
      </x:c>
      <x:c r="D115" s="23" t="str">
        <x:v>Кр-7</x:v>
      </x:c>
      <x:c r="E115" s="23" t="str">
        <x:v>11</x:v>
      </x:c>
      <x:c r="F115" s="23" t="str">
        <x:v>∅10 А500С; L=1580 мм; ГОСТ 34028-2016</x:v>
      </x:c>
      <x:c r="G115" s="23" t="str">
        <x:v>шт</x:v>
      </x:c>
      <x:c r="H115" s="28" t="n">
        <x:v>1</x:v>
      </x:c>
      <x:c r="I115" s="28" t="n">
        <x:v>0.97</x:v>
      </x:c>
      <x:c r="J115" s="28"/>
      <x:c r="K115" s="26" t="n">
        <x:f>IF(I115="","",H115*I115)</x:f>
        <x:v>0.97</x:v>
      </x:c>
      <x:c r="L115" s="26" t="str">
        <x:f>IF(J115="","",K115-J115)</x:f>
      </x:c>
      <x:c r="M115" s="23" t="str">
        <x:v>Арматура</x:v>
      </x:c>
      <x:c r="N115" s="23" t="n">
        <x:v>1580</x:v>
      </x:c>
      <x:c r="O115" s="23" t="str"/>
    </x:row>
    <x:row r="116" ht="54" customHeight="1">
      <x:c r="A116" s="23" t="str">
        <x:v>S65_Кр-7_12</x:v>
      </x:c>
      <x:c r="B116" s="23" t="n">
        <x:v>65</x:v>
      </x:c>
      <x:c r="C116" s="23" t="n">
        <x:v>75</x:v>
      </x:c>
      <x:c r="D116" s="23" t="str">
        <x:v>Кр-7</x:v>
      </x:c>
      <x:c r="E116" s="23" t="str">
        <x:v>12</x:v>
      </x:c>
      <x:c r="F116" s="23" t="str">
        <x:v>∅10 А500С; L=1500 мм; ГОСТ 34028-2016</x:v>
      </x:c>
      <x:c r="G116" s="23" t="str">
        <x:v>шт</x:v>
      </x:c>
      <x:c r="H116" s="28" t="n">
        <x:v>1</x:v>
      </x:c>
      <x:c r="I116" s="28" t="n">
        <x:v>0.93</x:v>
      </x:c>
      <x:c r="J116" s="28"/>
      <x:c r="K116" s="26" t="n">
        <x:f>IF(I116="","",H116*I116)</x:f>
        <x:v>0.93</x:v>
      </x:c>
      <x:c r="L116" s="26" t="str">
        <x:f>IF(J116="","",K116-J116)</x:f>
      </x:c>
      <x:c r="M116" s="23" t="str">
        <x:v>Арматура</x:v>
      </x:c>
      <x:c r="N116" s="23" t="n">
        <x:v>1500</x:v>
      </x:c>
      <x:c r="O116" s="23" t="str"/>
    </x:row>
    <x:row r="117" ht="54" customHeight="1">
      <x:c r="A117" s="23" t="str">
        <x:v>S65_Кр-7_3</x:v>
      </x:c>
      <x:c r="B117" s="23" t="n">
        <x:v>65</x:v>
      </x:c>
      <x:c r="C117" s="23" t="n">
        <x:v>75</x:v>
      </x:c>
      <x:c r="D117" s="23" t="str">
        <x:v>Кр-7</x:v>
      </x:c>
      <x:c r="E117" s="23" t="str">
        <x:v>3</x:v>
      </x:c>
      <x:c r="F117" s="23" t="str">
        <x:v>∅10 А500С; L=130 мм; ГОСТ 34028-2016</x:v>
      </x:c>
      <x:c r="G117" s="23" t="str">
        <x:v>шт</x:v>
      </x:c>
      <x:c r="H117" s="28" t="n">
        <x:v>8</x:v>
      </x:c>
      <x:c r="I117" s="28" t="n">
        <x:v>0.08</x:v>
      </x:c>
      <x:c r="J117" s="28"/>
      <x:c r="K117" s="26" t="n">
        <x:f>IF(I117="","",H117*I117)</x:f>
        <x:v>0.64</x:v>
      </x:c>
      <x:c r="L117" s="26" t="str">
        <x:f>IF(J117="","",K117-J117)</x:f>
      </x:c>
      <x:c r="M117" s="23" t="str">
        <x:v>Арматура</x:v>
      </x:c>
      <x:c r="N117" s="23" t="n">
        <x:v>130</x:v>
      </x:c>
      <x:c r="O117" s="23" t="str"/>
    </x:row>
    <x:row r="118" ht="54" customHeight="1">
      <x:c r="A118" s="23" t="str">
        <x:v>S66_МУ1_1</x:v>
      </x:c>
      <x:c r="B118" s="23" t="n">
        <x:v>66</x:v>
      </x:c>
      <x:c r="C118" s="23" t="n">
        <x:v>76</x:v>
      </x:c>
      <x:c r="D118" s="23" t="str">
        <x:v>МУ1</x:v>
      </x:c>
      <x:c r="E118" s="23" t="str">
        <x:v>1</x:v>
      </x:c>
      <x:c r="F118" s="23" t="str">
        <x:v>∅16 А500С; L=2550 мм; ГОСТ 34028-2016</x:v>
      </x:c>
      <x:c r="G118" s="23" t="str">
        <x:v>шт</x:v>
      </x:c>
      <x:c r="H118" s="28" t="n">
        <x:v>4</x:v>
      </x:c>
      <x:c r="I118" s="28" t="n">
        <x:v>4.03</x:v>
      </x:c>
      <x:c r="J118" s="28"/>
      <x:c r="K118" s="26" t="n">
        <x:f>IF(I118="","",H118*I118)</x:f>
        <x:v>16.12</x:v>
      </x:c>
      <x:c r="L118" s="26" t="str">
        <x:f>IF(J118="","",K118-J118)</x:f>
      </x:c>
      <x:c r="M118" s="23" t="str">
        <x:v>Арматура</x:v>
      </x:c>
      <x:c r="N118" s="23" t="n">
        <x:v>2550</x:v>
      </x:c>
      <x:c r="O118" s="23" t="str"/>
    </x:row>
    <x:row r="119" ht="54" customHeight="1">
      <x:c r="A119" s="23" t="str">
        <x:v>S66_МУ1_2</x:v>
      </x:c>
      <x:c r="B119" s="23" t="n">
        <x:v>66</x:v>
      </x:c>
      <x:c r="C119" s="23" t="n">
        <x:v>76</x:v>
      </x:c>
      <x:c r="D119" s="23" t="str">
        <x:v>МУ1</x:v>
      </x:c>
      <x:c r="E119" s="23" t="str">
        <x:v>2</x:v>
      </x:c>
      <x:c r="F119" s="23" t="str">
        <x:v>∅16 А500С; L=1180 мм; ГОСТ 34028-2016</x:v>
      </x:c>
      <x:c r="G119" s="23" t="str">
        <x:v>шт</x:v>
      </x:c>
      <x:c r="H119" s="28" t="n">
        <x:v>1</x:v>
      </x:c>
      <x:c r="I119" s="28" t="n">
        <x:v>1.86</x:v>
      </x:c>
      <x:c r="J119" s="28"/>
      <x:c r="K119" s="26" t="n">
        <x:f>IF(I119="","",H119*I119)</x:f>
        <x:v>1.86</x:v>
      </x:c>
      <x:c r="L119" s="26" t="str">
        <x:f>IF(J119="","",K119-J119)</x:f>
      </x:c>
      <x:c r="M119" s="23" t="str">
        <x:v>Арматура</x:v>
      </x:c>
      <x:c r="N119" s="23" t="n">
        <x:v>1180</x:v>
      </x:c>
      <x:c r="O119" s="23" t="str"/>
    </x:row>
    <x:row r="120" ht="54" customHeight="1">
      <x:c r="A120" s="23" t="str">
        <x:v>S66_МУ1_3*</x:v>
      </x:c>
      <x:c r="B120" s="23" t="n">
        <x:v>66</x:v>
      </x:c>
      <x:c r="C120" s="23" t="n">
        <x:v>76</x:v>
      </x:c>
      <x:c r="D120" s="23" t="str">
        <x:v>МУ1</x:v>
      </x:c>
      <x:c r="E120" s="23" t="str">
        <x:v>3*</x:v>
      </x:c>
      <x:c r="F120" s="23" t="str">
        <x:v>∅8 А240; L=620 мм; ГОСТ 34028-2016</x:v>
      </x:c>
      <x:c r="G120" s="23" t="str">
        <x:v>шт</x:v>
      </x:c>
      <x:c r="H120" s="28" t="n">
        <x:v>14</x:v>
      </x:c>
      <x:c r="I120" s="28" t="n">
        <x:v>0.24</x:v>
      </x:c>
      <x:c r="J120" s="28"/>
      <x:c r="K120" s="26" t="n">
        <x:f>IF(I120="","",H120*I120)</x:f>
        <x:v>3.36</x:v>
      </x:c>
      <x:c r="L120" s="26" t="str">
        <x:f>IF(J120="","",K120-J120)</x:f>
      </x:c>
      <x:c r="M120" s="23" t="str">
        <x:v>Арматура</x:v>
      </x:c>
      <x:c r="N120" s="23" t="n">
        <x:v>620</x:v>
      </x:c>
      <x:c r="O120" s="23" t="str"/>
    </x:row>
    <x:row r="121" ht="54" customHeight="1">
      <x:c r="A121" s="23" t="str">
        <x:v>S66_МУ1_4*</x:v>
      </x:c>
      <x:c r="B121" s="23" t="n">
        <x:v>66</x:v>
      </x:c>
      <x:c r="C121" s="23" t="n">
        <x:v>76</x:v>
      </x:c>
      <x:c r="D121" s="23" t="str">
        <x:v>МУ1</x:v>
      </x:c>
      <x:c r="E121" s="23" t="str">
        <x:v>4*</x:v>
      </x:c>
      <x:c r="F121" s="23" t="str">
        <x:v>∅8 А240; L=660 мм; ГОСТ 34028-2016</x:v>
      </x:c>
      <x:c r="G121" s="23" t="str">
        <x:v>шт</x:v>
      </x:c>
      <x:c r="H121" s="28" t="n">
        <x:v>11</x:v>
      </x:c>
      <x:c r="I121" s="28" t="n">
        <x:v>0.26</x:v>
      </x:c>
      <x:c r="J121" s="28"/>
      <x:c r="K121" s="26" t="n">
        <x:f>IF(I121="","",H121*I121)</x:f>
        <x:v>2.8600000000000003</x:v>
      </x:c>
      <x:c r="L121" s="26" t="str">
        <x:f>IF(J121="","",K121-J121)</x:f>
      </x:c>
      <x:c r="M121" s="23" t="str">
        <x:v>Арматура</x:v>
      </x:c>
      <x:c r="N121" s="23" t="n">
        <x:v>660</x:v>
      </x:c>
      <x:c r="O121" s="23" t="str"/>
    </x:row>
    <x:row r="122" ht="54" customHeight="1">
      <x:c r="A122" s="23" t="str">
        <x:v>S66_МУ1_Бетон</x:v>
      </x:c>
      <x:c r="B122" s="23" t="n">
        <x:v>66</x:v>
      </x:c>
      <x:c r="C122" s="23" t="n">
        <x:v>76</x:v>
      </x:c>
      <x:c r="D122" s="23" t="str">
        <x:v>МУ1</x:v>
      </x:c>
      <x:c r="E122" s="23" t="str">
        <x:v>Бетон</x:v>
      </x:c>
      <x:c r="F122" s="23" t="str">
        <x:v>Тяжёлый бетон В25; ГОСТ 26633-2015</x:v>
      </x:c>
      <x:c r="G122" s="23" t="str">
        <x:v>м³</x:v>
      </x:c>
      <x:c r="H122" s="28" t="n">
        <x:v>0.1</x:v>
      </x:c>
      <x:c r="I122" s="28"/>
      <x:c r="J122" s="28"/>
      <x:c r="K122" s="26" t="str">
        <x:f>IF(I122="","",H122*I122)</x:f>
      </x:c>
      <x:c r="L122" s="26" t="str">
        <x:f>IF(J122="","",K122-J122)</x:f>
      </x:c>
      <x:c r="M122" s="23" t="str">
        <x:v>Бетон В25</x:v>
      </x:c>
      <x:c r="N122" s="23"/>
      <x:c r="O122" s="23" t="str">
        <x:v>На один экземпляр. Два экземпляра по заголовку л.66 и планам л.55, несмотря на 1 шт в л.56.</x:v>
      </x:c>
    </x:row>
    <x:row r="123" ht="54" customHeight="1">
      <x:c r="A123" s="23" t="str">
        <x:v>S67_МУ2_1</x:v>
      </x:c>
      <x:c r="B123" s="23" t="n">
        <x:v>67</x:v>
      </x:c>
      <x:c r="C123" s="23" t="n">
        <x:v>77</x:v>
      </x:c>
      <x:c r="D123" s="23" t="str">
        <x:v>МУ2</x:v>
      </x:c>
      <x:c r="E123" s="23" t="str">
        <x:v>1</x:v>
      </x:c>
      <x:c r="F123" s="23" t="str">
        <x:v>∅16 А500С; погонный метраж; ГОСТ 34028-2016</x:v>
      </x:c>
      <x:c r="G123" s="23" t="str">
        <x:v>м</x:v>
      </x:c>
      <x:c r="H123" s="28" t="n">
        <x:v>72.24</x:v>
      </x:c>
      <x:c r="I123" s="28" t="n">
        <x:v>1.58</x:v>
      </x:c>
      <x:c r="J123" s="28"/>
      <x:c r="K123" s="26" t="n">
        <x:f>IF(I123="","",H123*I123)</x:f>
        <x:v>114.1392</x:v>
      </x:c>
      <x:c r="L123" s="26" t="str">
        <x:f>IF(J123="","",K123-J123)</x:f>
      </x:c>
      <x:c r="M123" s="23" t="str">
        <x:v>Арматура</x:v>
      </x:c>
      <x:c r="N123" s="23"/>
      <x:c r="O123" s="23" t="str"/>
    </x:row>
    <x:row r="124" ht="54" customHeight="1">
      <x:c r="A124" s="23" t="str">
        <x:v>S67_МУ2_2*</x:v>
      </x:c>
      <x:c r="B124" s="23" t="n">
        <x:v>67</x:v>
      </x:c>
      <x:c r="C124" s="23" t="n">
        <x:v>77</x:v>
      </x:c>
      <x:c r="D124" s="23" t="str">
        <x:v>МУ2</x:v>
      </x:c>
      <x:c r="E124" s="23" t="str">
        <x:v>2*</x:v>
      </x:c>
      <x:c r="F124" s="23" t="str">
        <x:v>∅16 А500С; L=1685 мм; ГОСТ 34028-2016</x:v>
      </x:c>
      <x:c r="G124" s="23" t="str">
        <x:v>шт</x:v>
      </x:c>
      <x:c r="H124" s="28" t="n">
        <x:v>15</x:v>
      </x:c>
      <x:c r="I124" s="28" t="n">
        <x:v>2.66</x:v>
      </x:c>
      <x:c r="J124" s="28"/>
      <x:c r="K124" s="26" t="n">
        <x:f>IF(I124="","",H124*I124)</x:f>
        <x:v>39.900000000000006</x:v>
      </x:c>
      <x:c r="L124" s="26" t="str">
        <x:f>IF(J124="","",K124-J124)</x:f>
      </x:c>
      <x:c r="M124" s="23" t="str">
        <x:v>Арматура</x:v>
      </x:c>
      <x:c r="N124" s="23" t="n">
        <x:v>1685</x:v>
      </x:c>
      <x:c r="O124" s="23" t="str">
        <x:v>Масса единицы сохранена по таблице.</x:v>
      </x:c>
    </x:row>
    <x:row r="125" ht="54" customHeight="1">
      <x:c r="A125" s="23" t="str">
        <x:v>S67_МУ2_3*</x:v>
      </x:c>
      <x:c r="B125" s="23" t="n">
        <x:v>67</x:v>
      </x:c>
      <x:c r="C125" s="23" t="n">
        <x:v>77</x:v>
      </x:c>
      <x:c r="D125" s="23" t="str">
        <x:v>МУ2</x:v>
      </x:c>
      <x:c r="E125" s="23" t="str">
        <x:v>3*</x:v>
      </x:c>
      <x:c r="F125" s="23" t="str">
        <x:v>∅16 А500С; L=1470 мм; ГОСТ 34028-2016</x:v>
      </x:c>
      <x:c r="G125" s="23" t="str">
        <x:v>шт</x:v>
      </x:c>
      <x:c r="H125" s="28" t="n">
        <x:v>18</x:v>
      </x:c>
      <x:c r="I125" s="28" t="n">
        <x:v>2.32</x:v>
      </x:c>
      <x:c r="J125" s="28"/>
      <x:c r="K125" s="26" t="n">
        <x:f>IF(I125="","",H125*I125)</x:f>
        <x:v>41.76</x:v>
      </x:c>
      <x:c r="L125" s="26" t="str">
        <x:f>IF(J125="","",K125-J125)</x:f>
      </x:c>
      <x:c r="M125" s="23" t="str">
        <x:v>Арматура</x:v>
      </x:c>
      <x:c r="N125" s="23" t="n">
        <x:v>1470</x:v>
      </x:c>
      <x:c r="O125" s="23" t="str"/>
    </x:row>
    <x:row r="126" ht="54" customHeight="1">
      <x:c r="A126" s="23" t="str">
        <x:v>S67_МУ2_4*</x:v>
      </x:c>
      <x:c r="B126" s="23" t="n">
        <x:v>67</x:v>
      </x:c>
      <x:c r="C126" s="23" t="n">
        <x:v>77</x:v>
      </x:c>
      <x:c r="D126" s="23" t="str">
        <x:v>МУ2</x:v>
      </x:c>
      <x:c r="E126" s="23" t="str">
        <x:v>4*</x:v>
      </x:c>
      <x:c r="F126" s="23" t="str">
        <x:v>∅10 А240; L=910 мм; ГОСТ 34028-2016</x:v>
      </x:c>
      <x:c r="G126" s="23" t="str">
        <x:v>шт</x:v>
      </x:c>
      <x:c r="H126" s="28" t="n">
        <x:v>8</x:v>
      </x:c>
      <x:c r="I126" s="28" t="n">
        <x:v>0.36</x:v>
      </x:c>
      <x:c r="J126" s="28"/>
      <x:c r="K126" s="26" t="n">
        <x:f>IF(I126="","",H126*I126)</x:f>
        <x:v>2.88</x:v>
      </x:c>
      <x:c r="L126" s="26" t="str">
        <x:f>IF(J126="","",K126-J126)</x:f>
      </x:c>
      <x:c r="M126" s="23" t="str">
        <x:v>Арматура</x:v>
      </x:c>
      <x:c r="N126" s="23" t="n">
        <x:v>910</x:v>
      </x:c>
      <x:c r="O126" s="23" t="str">
        <x:v>∅10/L910/0,36 кг в РД: проверить сочетание диаметра и массы — RFI-L06.</x:v>
      </x:c>
    </x:row>
    <x:row r="127" ht="54" customHeight="1">
      <x:c r="A127" s="23" t="str">
        <x:v>S67_МУ2_Бетон</x:v>
      </x:c>
      <x:c r="B127" s="23" t="n">
        <x:v>67</x:v>
      </x:c>
      <x:c r="C127" s="23" t="n">
        <x:v>77</x:v>
      </x:c>
      <x:c r="D127" s="23" t="str">
        <x:v>МУ2</x:v>
      </x:c>
      <x:c r="E127" s="23" t="str">
        <x:v>Бетон</x:v>
      </x:c>
      <x:c r="F127" s="23" t="str">
        <x:v>Тяжёлый бетон В25; ГОСТ 26633-2015</x:v>
      </x:c>
      <x:c r="G127" s="23" t="str">
        <x:v>м³</x:v>
      </x:c>
      <x:c r="H127" s="28" t="n">
        <x:v>0.95</x:v>
      </x:c>
      <x:c r="I127" s="28"/>
      <x:c r="J127" s="28"/>
      <x:c r="K127" s="26" t="str">
        <x:f>IF(I127="","",H127*I127)</x:f>
      </x:c>
      <x:c r="L127" s="26" t="str">
        <x:f>IF(J127="","",K127-J127)</x:f>
      </x:c>
      <x:c r="M127" s="23" t="str">
        <x:v>Бетон В25</x:v>
      </x:c>
      <x:c r="N127" s="23"/>
      <x:c r="O127" s="23" t="str"/>
    </x:row>
    <x:row r="128" ht="54" customHeight="1">
      <x:c r="A128" s="23" t="str">
        <x:v>S68_МУ3_1</x:v>
      </x:c>
      <x:c r="B128" s="23" t="n">
        <x:v>68</x:v>
      </x:c>
      <x:c r="C128" s="23" t="n">
        <x:v>78</x:v>
      </x:c>
      <x:c r="D128" s="23" t="str">
        <x:v>МУ3</x:v>
      </x:c>
      <x:c r="E128" s="23" t="str">
        <x:v>1</x:v>
      </x:c>
      <x:c r="F128" s="23" t="str">
        <x:v>∅16 А500С; погонный метраж; ГОСТ 34028-2016</x:v>
      </x:c>
      <x:c r="G128" s="23" t="str">
        <x:v>м</x:v>
      </x:c>
      <x:c r="H128" s="28" t="n">
        <x:v>71.94</x:v>
      </x:c>
      <x:c r="I128" s="28" t="n">
        <x:v>1.58</x:v>
      </x:c>
      <x:c r="J128" s="28"/>
      <x:c r="K128" s="26" t="n">
        <x:f>IF(I128="","",H128*I128)</x:f>
        <x:v>113.6652</x:v>
      </x:c>
      <x:c r="L128" s="26" t="str">
        <x:f>IF(J128="","",K128-J128)</x:f>
      </x:c>
      <x:c r="M128" s="23" t="str">
        <x:v>Арматура</x:v>
      </x:c>
      <x:c r="N128" s="23"/>
      <x:c r="O128" s="23" t="str"/>
    </x:row>
    <x:row r="129" ht="54" customHeight="1">
      <x:c r="A129" s="23" t="str">
        <x:v>S68_МУ3_2*</x:v>
      </x:c>
      <x:c r="B129" s="23" t="n">
        <x:v>68</x:v>
      </x:c>
      <x:c r="C129" s="23" t="n">
        <x:v>78</x:v>
      </x:c>
      <x:c r="D129" s="23" t="str">
        <x:v>МУ3</x:v>
      </x:c>
      <x:c r="E129" s="23" t="str">
        <x:v>2*</x:v>
      </x:c>
      <x:c r="F129" s="23" t="str">
        <x:v>∅16 А500С; L=1665 мм; ГОСТ 34028-2016</x:v>
      </x:c>
      <x:c r="G129" s="23" t="str">
        <x:v>шт</x:v>
      </x:c>
      <x:c r="H129" s="28" t="n">
        <x:v>15</x:v>
      </x:c>
      <x:c r="I129" s="28" t="n">
        <x:v>2.66</x:v>
      </x:c>
      <x:c r="J129" s="28"/>
      <x:c r="K129" s="26" t="n">
        <x:f>IF(I129="","",H129*I129)</x:f>
        <x:v>39.900000000000006</x:v>
      </x:c>
      <x:c r="L129" s="26" t="str">
        <x:f>IF(J129="","",K129-J129)</x:f>
      </x:c>
      <x:c r="M129" s="23" t="str">
        <x:v>Арматура</x:v>
      </x:c>
      <x:c r="N129" s="23" t="n">
        <x:v>1665</x:v>
      </x:c>
      <x:c r="O129" s="23" t="str">
        <x:v>Масса единицы сохранена по таблице.</x:v>
      </x:c>
    </x:row>
    <x:row r="130" ht="54" customHeight="1">
      <x:c r="A130" s="23" t="str">
        <x:v>S68_МУ3_3*</x:v>
      </x:c>
      <x:c r="B130" s="23" t="n">
        <x:v>68</x:v>
      </x:c>
      <x:c r="C130" s="23" t="n">
        <x:v>78</x:v>
      </x:c>
      <x:c r="D130" s="23" t="str">
        <x:v>МУ3</x:v>
      </x:c>
      <x:c r="E130" s="23" t="str">
        <x:v>3*</x:v>
      </x:c>
      <x:c r="F130" s="23" t="str">
        <x:v>∅16 А500С; L=1470 мм; ГОСТ 34028-2016</x:v>
      </x:c>
      <x:c r="G130" s="23" t="str">
        <x:v>шт</x:v>
      </x:c>
      <x:c r="H130" s="28" t="n">
        <x:v>18</x:v>
      </x:c>
      <x:c r="I130" s="28" t="n">
        <x:v>2.32</x:v>
      </x:c>
      <x:c r="J130" s="28"/>
      <x:c r="K130" s="26" t="n">
        <x:f>IF(I130="","",H130*I130)</x:f>
        <x:v>41.76</x:v>
      </x:c>
      <x:c r="L130" s="26" t="str">
        <x:f>IF(J130="","",K130-J130)</x:f>
      </x:c>
      <x:c r="M130" s="23" t="str">
        <x:v>Арматура</x:v>
      </x:c>
      <x:c r="N130" s="23" t="n">
        <x:v>1470</x:v>
      </x:c>
      <x:c r="O130" s="23" t="str"/>
    </x:row>
    <x:row r="131" ht="54" customHeight="1">
      <x:c r="A131" s="23" t="str">
        <x:v>S68_МУ3_4*</x:v>
      </x:c>
      <x:c r="B131" s="23" t="n">
        <x:v>68</x:v>
      </x:c>
      <x:c r="C131" s="23" t="n">
        <x:v>78</x:v>
      </x:c>
      <x:c r="D131" s="23" t="str">
        <x:v>МУ3</x:v>
      </x:c>
      <x:c r="E131" s="23" t="str">
        <x:v>4*</x:v>
      </x:c>
      <x:c r="F131" s="23" t="str">
        <x:v>∅10 А240; L=910 мм; ГОСТ 34028-2016</x:v>
      </x:c>
      <x:c r="G131" s="23" t="str">
        <x:v>шт</x:v>
      </x:c>
      <x:c r="H131" s="28" t="n">
        <x:v>8</x:v>
      </x:c>
      <x:c r="I131" s="28" t="n">
        <x:v>0.36</x:v>
      </x:c>
      <x:c r="J131" s="28"/>
      <x:c r="K131" s="26" t="n">
        <x:f>IF(I131="","",H131*I131)</x:f>
        <x:v>2.88</x:v>
      </x:c>
      <x:c r="L131" s="26" t="str">
        <x:f>IF(J131="","",K131-J131)</x:f>
      </x:c>
      <x:c r="M131" s="23" t="str">
        <x:v>Арматура</x:v>
      </x:c>
      <x:c r="N131" s="23" t="n">
        <x:v>910</x:v>
      </x:c>
      <x:c r="O131" s="23" t="str">
        <x:v>∅10/L910/0,36 кг в РД: проверить сочетание диаметра и массы — RFI-L06.</x:v>
      </x:c>
    </x:row>
    <x:row r="132" ht="54" customHeight="1">
      <x:c r="A132" s="23" t="str">
        <x:v>S68_МУ3_Бетон</x:v>
      </x:c>
      <x:c r="B132" s="23" t="n">
        <x:v>68</x:v>
      </x:c>
      <x:c r="C132" s="23" t="n">
        <x:v>78</x:v>
      </x:c>
      <x:c r="D132" s="23" t="str">
        <x:v>МУ3</x:v>
      </x:c>
      <x:c r="E132" s="23" t="str">
        <x:v>Бетон</x:v>
      </x:c>
      <x:c r="F132" s="23" t="str">
        <x:v>Тяжёлый бетон В25; ГОСТ 26633-2015</x:v>
      </x:c>
      <x:c r="G132" s="23" t="str">
        <x:v>м³</x:v>
      </x:c>
      <x:c r="H132" s="28" t="n">
        <x:v>0.94</x:v>
      </x:c>
      <x:c r="I132" s="28"/>
      <x:c r="J132" s="28"/>
      <x:c r="K132" s="26" t="str">
        <x:f>IF(I132="","",H132*I132)</x:f>
      </x:c>
      <x:c r="L132" s="26" t="str">
        <x:f>IF(J132="","",K132-J132)</x:f>
      </x:c>
      <x:c r="M132" s="23" t="str">
        <x:v>Бетон В25</x:v>
      </x:c>
      <x:c r="N132" s="23"/>
      <x:c r="O132" s="23" t="str"/>
    </x:row>
    <x:row r="133" ht="54" customHeight="1">
      <x:c r="A133" s="23" t="str">
        <x:v>S69_Пп-1_1</x:v>
      </x:c>
      <x:c r="B133" s="23" t="n">
        <x:v>69</x:v>
      </x:c>
      <x:c r="C133" s="23" t="n">
        <x:v>79</x:v>
      </x:c>
      <x:c r="D133" s="23" t="str">
        <x:v>Пп-1</x:v>
      </x:c>
      <x:c r="E133" s="23" t="str">
        <x:v>1</x:v>
      </x:c>
      <x:c r="F133" s="23" t="str">
        <x:v>∅12 А500С; L=2810 мм; ГОСТ 34028-2016</x:v>
      </x:c>
      <x:c r="G133" s="23" t="str">
        <x:v>шт</x:v>
      </x:c>
      <x:c r="H133" s="28" t="n">
        <x:v>86</x:v>
      </x:c>
      <x:c r="I133" s="28" t="n">
        <x:v>2.5</x:v>
      </x:c>
      <x:c r="J133" s="28" t="n">
        <x:v>215</x:v>
      </x:c>
      <x:c r="K133" s="26" t="n">
        <x:f>IF(I133="","",H133*I133)</x:f>
        <x:v>215</x:v>
      </x:c>
      <x:c r="L133" s="26" t="n">
        <x:f>IF(J133="","",K133-J133)</x:f>
        <x:v>0</x:v>
      </x:c>
      <x:c r="M133" s="23" t="str">
        <x:v>Арматура</x:v>
      </x:c>
      <x:c r="N133" s="23" t="n">
        <x:v>2810</x:v>
      </x:c>
      <x:c r="O133" s="23" t="str">
        <x:v>Раскладка/отметки/объём не согласованы — RFI-L02.</x:v>
      </x:c>
    </x:row>
    <x:row r="134" ht="54" customHeight="1">
      <x:c r="A134" s="23" t="str">
        <x:v>S69_Пп-1_2</x:v>
      </x:c>
      <x:c r="B134" s="23" t="n">
        <x:v>69</x:v>
      </x:c>
      <x:c r="C134" s="23" t="n">
        <x:v>79</x:v>
      </x:c>
      <x:c r="D134" s="23" t="str">
        <x:v>Пп-1</x:v>
      </x:c>
      <x:c r="E134" s="23" t="str">
        <x:v>2</x:v>
      </x:c>
      <x:c r="F134" s="23" t="str">
        <x:v>∅12 А500С; L=6950 мм; ГОСТ 34028-2016</x:v>
      </x:c>
      <x:c r="G134" s="23" t="str">
        <x:v>шт</x:v>
      </x:c>
      <x:c r="H134" s="28" t="n">
        <x:v>36</x:v>
      </x:c>
      <x:c r="I134" s="28" t="n">
        <x:v>6.17</x:v>
      </x:c>
      <x:c r="J134" s="28" t="n">
        <x:v>222.12</x:v>
      </x:c>
      <x:c r="K134" s="26" t="n">
        <x:f>IF(I134="","",H134*I134)</x:f>
        <x:v>222.12</x:v>
      </x:c>
      <x:c r="L134" s="26" t="n">
        <x:f>IF(J134="","",K134-J134)</x:f>
        <x:v>0</x:v>
      </x:c>
      <x:c r="M134" s="23" t="str">
        <x:v>Арматура</x:v>
      </x:c>
      <x:c r="N134" s="23" t="n">
        <x:v>6950</x:v>
      </x:c>
      <x:c r="O134" s="23" t="str">
        <x:v>Раскладка/отметки/объём не согласованы — RFI-L02.</x:v>
      </x:c>
    </x:row>
    <x:row r="135" ht="54" customHeight="1">
      <x:c r="A135" s="23" t="str">
        <x:v>S69_Пп-1_3</x:v>
      </x:c>
      <x:c r="B135" s="23" t="n">
        <x:v>69</x:v>
      </x:c>
      <x:c r="C135" s="23" t="n">
        <x:v>79</x:v>
      </x:c>
      <x:c r="D135" s="23" t="str">
        <x:v>Пп-1</x:v>
      </x:c>
      <x:c r="E135" s="23" t="str">
        <x:v>3</x:v>
      </x:c>
      <x:c r="F135" s="23" t="str">
        <x:v>∅16 А500С; L=2050 мм; ГОСТ 34028-2016</x:v>
      </x:c>
      <x:c r="G135" s="23" t="str">
        <x:v>шт</x:v>
      </x:c>
      <x:c r="H135" s="28" t="n">
        <x:v>19</x:v>
      </x:c>
      <x:c r="I135" s="28" t="n">
        <x:v>3.24</x:v>
      </x:c>
      <x:c r="J135" s="28" t="n">
        <x:v>61.56</x:v>
      </x:c>
      <x:c r="K135" s="26" t="n">
        <x:f>IF(I135="","",H135*I135)</x:f>
        <x:v>61.56</x:v>
      </x:c>
      <x:c r="L135" s="26" t="n">
        <x:f>IF(J135="","",K135-J135)</x:f>
        <x:v>0</x:v>
      </x:c>
      <x:c r="M135" s="23" t="str">
        <x:v>Арматура</x:v>
      </x:c>
      <x:c r="N135" s="23" t="n">
        <x:v>2050</x:v>
      </x:c>
      <x:c r="O135" s="23" t="str">
        <x:v>Раскладка/отметки/объём не согласованы — RFI-L02.</x:v>
      </x:c>
    </x:row>
    <x:row r="136" ht="54" customHeight="1">
      <x:c r="A136" s="23" t="str">
        <x:v>S69_Пп-1_П-1</x:v>
      </x:c>
      <x:c r="B136" s="23" t="n">
        <x:v>69</x:v>
      </x:c>
      <x:c r="C136" s="23" t="n">
        <x:v>79</x:v>
      </x:c>
      <x:c r="D136" s="23" t="str">
        <x:v>Пп-1</x:v>
      </x:c>
      <x:c r="E136" s="23" t="str">
        <x:v>П-1</x:v>
      </x:c>
      <x:c r="F136" s="23" t="str">
        <x:v>∅12 А500С; L=1300 мм; ГОСТ 34028-2016</x:v>
      </x:c>
      <x:c r="G136" s="23" t="str">
        <x:v>шт</x:v>
      </x:c>
      <x:c r="H136" s="28" t="n">
        <x:v>118</x:v>
      </x:c>
      <x:c r="I136" s="28" t="n">
        <x:v>1.15</x:v>
      </x:c>
      <x:c r="J136" s="28" t="n">
        <x:v>135.7</x:v>
      </x:c>
      <x:c r="K136" s="26" t="n">
        <x:f>IF(I136="","",H136*I136)</x:f>
        <x:v>135.7</x:v>
      </x:c>
      <x:c r="L136" s="26" t="n">
        <x:f>IF(J136="","",K136-J136)</x:f>
        <x:v>0</x:v>
      </x:c>
      <x:c r="M136" s="23" t="str">
        <x:v>Арматура</x:v>
      </x:c>
      <x:c r="N136" s="23" t="n">
        <x:v>1300</x:v>
      </x:c>
      <x:c r="O136" s="23" t="str">
        <x:v>Раскладка/отметки/объём не согласованы — RFI-L02.</x:v>
      </x:c>
    </x:row>
    <x:row r="137" ht="54" customHeight="1">
      <x:c r="A137" s="23" t="str">
        <x:v>S69_Пп-1_Ф-1</x:v>
      </x:c>
      <x:c r="B137" s="23" t="n">
        <x:v>69</x:v>
      </x:c>
      <x:c r="C137" s="23" t="n">
        <x:v>79</x:v>
      </x:c>
      <x:c r="D137" s="23" t="str">
        <x:v>Пп-1</x:v>
      </x:c>
      <x:c r="E137" s="23" t="str">
        <x:v>Ф-1</x:v>
      </x:c>
      <x:c r="F137" s="23" t="str">
        <x:v>∅10 А240; L=1130 мм; ГОСТ 34028-2016</x:v>
      </x:c>
      <x:c r="G137" s="23" t="str">
        <x:v>шт</x:v>
      </x:c>
      <x:c r="H137" s="28" t="n">
        <x:v>37</x:v>
      </x:c>
      <x:c r="I137" s="28" t="n">
        <x:v>0.7</x:v>
      </x:c>
      <x:c r="J137" s="28" t="n">
        <x:v>25.9</x:v>
      </x:c>
      <x:c r="K137" s="26" t="n">
        <x:f>IF(I137="","",H137*I137)</x:f>
        <x:v>25.9</x:v>
      </x:c>
      <x:c r="L137" s="26" t="n">
        <x:f>IF(J137="","",K137-J137)</x:f>
        <x:v>0</x:v>
      </x:c>
      <x:c r="M137" s="23" t="str">
        <x:v>Арматура</x:v>
      </x:c>
      <x:c r="N137" s="23" t="n">
        <x:v>1130</x:v>
      </x:c>
      <x:c r="O137" s="23" t="str">
        <x:v>Раскладка/отметки/объём не согласованы — RFI-L02.</x:v>
      </x:c>
    </x:row>
    <x:row r="138" ht="54" customHeight="1">
      <x:c r="A138" s="23" t="str">
        <x:v>S69_Пп-1_Бетон</x:v>
      </x:c>
      <x:c r="B138" s="23" t="n">
        <x:v>69</x:v>
      </x:c>
      <x:c r="C138" s="23" t="n">
        <x:v>79</x:v>
      </x:c>
      <x:c r="D138" s="23" t="str">
        <x:v>Пп-1</x:v>
      </x:c>
      <x:c r="E138" s="23" t="str">
        <x:v>Бетон</x:v>
      </x:c>
      <x:c r="F138" s="23" t="str">
        <x:v>Тяжёлый бетон В25; ГОСТ 26633-2015</x:v>
      </x:c>
      <x:c r="G138" s="23" t="str">
        <x:v>м³</x:v>
      </x:c>
      <x:c r="H138" s="28" t="n">
        <x:v>4.7</x:v>
      </x:c>
      <x:c r="I138" s="28"/>
      <x:c r="J138" s="28"/>
      <x:c r="K138" s="26" t="str">
        <x:f>IF(I138="","",H138*I138)</x:f>
      </x:c>
      <x:c r="L138" s="26" t="str">
        <x:f>IF(J138="","",K138-J138)</x:f>
      </x:c>
      <x:c r="M138" s="23" t="str">
        <x:v>Бетон В25</x:v>
      </x:c>
      <x:c r="N138" s="23"/>
      <x:c r="O138" s="23" t="str">
        <x:v>Исходные 4,7 м³ сохранены. Геометрическая проверка не заменяет РД.</x:v>
      </x:c>
    </x:row>
    <x:row r="139" ht="54" customHeight="1">
      <x:c r="A139" s="23" t="str">
        <x:v>S56_ЛС1_Изделие</x:v>
      </x:c>
      <x:c r="B139" s="23" t="n">
        <x:v>56</x:v>
      </x:c>
      <x:c r="C139" s="23" t="n">
        <x:v>66</x:v>
      </x:c>
      <x:c r="D139" s="23" t="str">
        <x:v>ЛС1</x:v>
      </x:c>
      <x:c r="E139" s="23" t="str">
        <x:v>Изделие</x:v>
      </x:c>
      <x:c r="F139" s="23" t="str">
        <x:v>Ступень ЛС12; ГОСТ 8717-2016</x:v>
      </x:c>
      <x:c r="G139" s="23" t="str">
        <x:v>шт</x:v>
      </x:c>
      <x:c r="H139" s="28" t="n">
        <x:v>1</x:v>
      </x:c>
      <x:c r="I139" s="28" t="n">
        <x:v>128</x:v>
      </x:c>
      <x:c r="J139" s="28"/>
      <x:c r="K139" s="26" t="n">
        <x:f>IF(I139="","",H139*I139)</x:f>
        <x:v>128</x:v>
      </x:c>
      <x:c r="L139" s="26" t="str">
        <x:f>IF(J139="","",K139-J139)</x:f>
      </x:c>
      <x:c r="M139" s="23" t="str">
        <x:v>Сборный ЖБИ</x:v>
      </x:c>
      <x:c r="N139" s="23"/>
      <x:c r="O139" s="23" t="str">
        <x:v>Единица изделия; количество применяется по реестру экземпляров. Геометрия изделий габаритная.</x:v>
      </x:c>
    </x:row>
    <x:row r="140" ht="54" customHeight="1">
      <x:c r="A140" s="23" t="str">
        <x:v>S56_ОП1_Изделие</x:v>
      </x:c>
      <x:c r="B140" s="23" t="n">
        <x:v>56</x:v>
      </x:c>
      <x:c r="C140" s="23" t="n">
        <x:v>66</x:v>
      </x:c>
      <x:c r="D140" s="23" t="str">
        <x:v>ОП1</x:v>
      </x:c>
      <x:c r="E140" s="23" t="str">
        <x:v>Изделие</x:v>
      </x:c>
      <x:c r="F140" s="23" t="str">
        <x:v>Опорная подушка ОП1; серия 1.069-1, вып.1</x:v>
      </x:c>
      <x:c r="G140" s="23" t="str">
        <x:v>шт</x:v>
      </x:c>
      <x:c r="H140" s="28" t="n">
        <x:v>1</x:v>
      </x:c>
      <x:c r="I140" s="28" t="n">
        <x:v>33</x:v>
      </x:c>
      <x:c r="J140" s="28"/>
      <x:c r="K140" s="26" t="n">
        <x:f>IF(I140="","",H140*I140)</x:f>
        <x:v>33</x:v>
      </x:c>
      <x:c r="L140" s="26" t="str">
        <x:f>IF(J140="","",K140-J140)</x:f>
      </x:c>
      <x:c r="M140" s="23" t="str">
        <x:v>Сборный ЖБИ</x:v>
      </x:c>
      <x:c r="N140" s="23"/>
      <x:c r="O140" s="23" t="str">
        <x:v>Единица изделия; количество применяется по реестру экземпляров. Геометрия изделий габаритная.</x:v>
      </x:c>
    </x:row>
    <x:row r="141" ht="54" customHeight="1">
      <x:c r="A141" s="23" t="str">
        <x:v>S56_ПР1_Изделие</x:v>
      </x:c>
      <x:c r="B141" s="23" t="n">
        <x:v>56</x:v>
      </x:c>
      <x:c r="C141" s="23" t="n">
        <x:v>66</x:v>
      </x:c>
      <x:c r="D141" s="23" t="str">
        <x:v>ПР1</x:v>
      </x:c>
      <x:c r="E141" s="23" t="str">
        <x:v>Изделие</x:v>
      </x:c>
      <x:c r="F141" s="23" t="str">
        <x:v>Перемычка 3ПБ18-8; серия 1.038-1, вып.1</x:v>
      </x:c>
      <x:c r="G141" s="23" t="str">
        <x:v>шт</x:v>
      </x:c>
      <x:c r="H141" s="28" t="n">
        <x:v>1</x:v>
      </x:c>
      <x:c r="I141" s="28" t="n">
        <x:v>119</x:v>
      </x:c>
      <x:c r="J141" s="28"/>
      <x:c r="K141" s="26" t="n">
        <x:f>IF(I141="","",H141*I141)</x:f>
        <x:v>119</x:v>
      </x:c>
      <x:c r="L141" s="26" t="str">
        <x:f>IF(J141="","",K141-J141)</x:f>
      </x:c>
      <x:c r="M141" s="23" t="str">
        <x:v>Сборный ЖБИ</x:v>
      </x:c>
      <x:c r="N141" s="23"/>
      <x:c r="O141" s="23" t="str">
        <x:v>Единица изделия; количество применяется по реестру экземпляров. Геометрия изделий габаритная.</x:v>
      </x:c>
    </x:row>
    <x:row r="142" ht="54" customHeight="1">
      <x:c r="A142" s="23" t="str">
        <x:v>S56_ПР2_Изделие</x:v>
      </x:c>
      <x:c r="B142" s="23" t="n">
        <x:v>56</x:v>
      </x:c>
      <x:c r="C142" s="23" t="n">
        <x:v>66</x:v>
      </x:c>
      <x:c r="D142" s="23" t="str">
        <x:v>ПР2</x:v>
      </x:c>
      <x:c r="E142" s="23" t="str">
        <x:v>Изделие</x:v>
      </x:c>
      <x:c r="F142" s="23" t="str">
        <x:v>Перемычка 5ПБ18-27; серия 1.038-1, вып.1</x:v>
      </x:c>
      <x:c r="G142" s="23" t="str">
        <x:v>шт</x:v>
      </x:c>
      <x:c r="H142" s="28" t="n">
        <x:v>1</x:v>
      </x:c>
      <x:c r="I142" s="28" t="n">
        <x:v>250</x:v>
      </x:c>
      <x:c r="J142" s="28"/>
      <x:c r="K142" s="26" t="n">
        <x:f>IF(I142="","",H142*I142)</x:f>
        <x:v>250</x:v>
      </x:c>
      <x:c r="L142" s="26" t="str">
        <x:f>IF(J142="","",K142-J142)</x:f>
      </x:c>
      <x:c r="M142" s="23" t="str">
        <x:v>Сборный ЖБИ</x:v>
      </x:c>
      <x:c r="N142" s="23"/>
      <x:c r="O142" s="23" t="str">
        <x:v>Единица изделия; количество применяется по реестру экземпляров. Геометрия изделий габаритная.</x:v>
      </x:c>
    </x:row>
    <x:row r="143" ht="54" customHeight="1">
      <x:c r="A143" s="23" t="str">
        <x:v>S56_ПР3_Изделие</x:v>
      </x:c>
      <x:c r="B143" s="23" t="n">
        <x:v>56</x:v>
      </x:c>
      <x:c r="C143" s="23" t="n">
        <x:v>66</x:v>
      </x:c>
      <x:c r="D143" s="23" t="str">
        <x:v>ПР3</x:v>
      </x:c>
      <x:c r="E143" s="23" t="str">
        <x:v>Изделие</x:v>
      </x:c>
      <x:c r="F143" s="23" t="str">
        <x:v>Перемычка 5ПБ31-27; серия 1.038-1, вып.1</x:v>
      </x:c>
      <x:c r="G143" s="23" t="str">
        <x:v>шт</x:v>
      </x:c>
      <x:c r="H143" s="28" t="n">
        <x:v>1</x:v>
      </x:c>
      <x:c r="I143" s="28" t="n">
        <x:v>428</x:v>
      </x:c>
      <x:c r="J143" s="28"/>
      <x:c r="K143" s="26" t="n">
        <x:f>IF(I143="","",H143*I143)</x:f>
        <x:v>428</x:v>
      </x:c>
      <x:c r="L143" s="26" t="str">
        <x:f>IF(J143="","",K143-J143)</x:f>
      </x:c>
      <x:c r="M143" s="23" t="str">
        <x:v>Сборный ЖБИ</x:v>
      </x:c>
      <x:c r="N143" s="23"/>
      <x:c r="O143" s="23" t="str">
        <x:v>Единица изделия; количество применяется по реестру экземпляров. Геометрия изделий габаритная.</x:v>
      </x:c>
    </x:row>
    <x:row r="144" ht="54" customHeight="1">
      <x:c r="A144" s="23" t="str">
        <x:v>S56_Крепёж_БСР</x:v>
      </x:c>
      <x:c r="B144" s="23" t="n">
        <x:v>56</x:v>
      </x:c>
      <x:c r="C144" s="23" t="n">
        <x:v>66</x:v>
      </x:c>
      <x:c r="D144" s="23" t="str">
        <x:v>Крепёж</x:v>
      </x:c>
      <x:c r="E144" s="23" t="str">
        <x:v>БСР</x:v>
      </x:c>
      <x:c r="F144" s="23" t="str">
        <x:v>Болт БСР M16×150 (основание КС1)</x:v>
      </x:c>
      <x:c r="G144" s="23" t="str">
        <x:v>шт</x:v>
      </x:c>
      <x:c r="H144" s="28" t="n">
        <x:v>4</x:v>
      </x:c>
      <x:c r="I144" s="28"/>
      <x:c r="J144" s="28"/>
      <x:c r="K144" s="26" t="str">
        <x:f>IF(I144="","",H144*I144)</x:f>
      </x:c>
      <x:c r="L144" s="26" t="str">
        <x:f>IF(J144="","",K144-J144)</x:f>
      </x:c>
      <x:c r="M144" s="23" t="str">
        <x:v>Крепёж</x:v>
      </x:c>
      <x:c r="N144" s="23"/>
      <x:c r="O144" s="23" t="str">
        <x:v>БСР отнесены к 1 этажу; остальные оставлены общими, без произвольной поэтажной разбивки.</x:v>
      </x:c>
    </x:row>
    <x:row r="145" ht="54" customHeight="1">
      <x:c r="A145" s="23" t="str">
        <x:v>S56_Крепёж_Болт</x:v>
      </x:c>
      <x:c r="B145" s="23" t="n">
        <x:v>56</x:v>
      </x:c>
      <x:c r="C145" s="23" t="n">
        <x:v>66</x:v>
      </x:c>
      <x:c r="D145" s="23" t="str">
        <x:v>Крепёж</x:v>
      </x:c>
      <x:c r="E145" s="23" t="str">
        <x:v>Болт</x:v>
      </x:c>
      <x:c r="F145" s="23" t="str">
        <x:v>Болт M16×50-8.8; ГОСТ Р ИСО 4017</x:v>
      </x:c>
      <x:c r="G145" s="23" t="str">
        <x:v>шт</x:v>
      </x:c>
      <x:c r="H145" s="28" t="n">
        <x:v>52</x:v>
      </x:c>
      <x:c r="I145" s="28"/>
      <x:c r="J145" s="28"/>
      <x:c r="K145" s="26" t="str">
        <x:f>IF(I145="","",H145*I145)</x:f>
      </x:c>
      <x:c r="L145" s="26" t="str">
        <x:f>IF(J145="","",K145-J145)</x:f>
      </x:c>
      <x:c r="M145" s="23" t="str">
        <x:v>Крепёж</x:v>
      </x:c>
      <x:c r="N145" s="23"/>
      <x:c r="O145" s="23" t="str">
        <x:v>БСР отнесены к 1 этажу; остальные оставлены общими, без произвольной поэтажной разбивки.</x:v>
      </x:c>
    </x:row>
    <x:row r="146" ht="54" customHeight="1">
      <x:c r="A146" s="23" t="str">
        <x:v>S56_Крепёж_Шайба</x:v>
      </x:c>
      <x:c r="B146" s="23" t="n">
        <x:v>56</x:v>
      </x:c>
      <x:c r="C146" s="23" t="n">
        <x:v>66</x:v>
      </x:c>
      <x:c r="D146" s="23" t="str">
        <x:v>Крепёж</x:v>
      </x:c>
      <x:c r="E146" s="23" t="str">
        <x:v>Шайба</x:v>
      </x:c>
      <x:c r="F146" s="23" t="str">
        <x:v>Шайба M16; ГОСТ 11371-78</x:v>
      </x:c>
      <x:c r="G146" s="23" t="str">
        <x:v>шт</x:v>
      </x:c>
      <x:c r="H146" s="28" t="n">
        <x:v>104</x:v>
      </x:c>
      <x:c r="I146" s="28"/>
      <x:c r="J146" s="28"/>
      <x:c r="K146" s="26" t="str">
        <x:f>IF(I146="","",H146*I146)</x:f>
      </x:c>
      <x:c r="L146" s="26" t="str">
        <x:f>IF(J146="","",K146-J146)</x:f>
      </x:c>
      <x:c r="M146" s="23" t="str">
        <x:v>Крепёж</x:v>
      </x:c>
      <x:c r="N146" s="23"/>
      <x:c r="O146" s="23" t="str">
        <x:v>БСР отнесены к 1 этажу; остальные оставлены общими, без произвольной поэтажной разбивки.</x:v>
      </x:c>
    </x:row>
    <x:row r="147" ht="54" customHeight="1">
      <x:c r="A147" s="23" t="str">
        <x:v>S56_Крепёж_Гайка</x:v>
      </x:c>
      <x:c r="B147" s="23" t="n">
        <x:v>56</x:v>
      </x:c>
      <x:c r="C147" s="23" t="n">
        <x:v>66</x:v>
      </x:c>
      <x:c r="D147" s="23" t="str">
        <x:v>Крепёж</x:v>
      </x:c>
      <x:c r="E147" s="23" t="str">
        <x:v>Гайка</x:v>
      </x:c>
      <x:c r="F147" s="23" t="str">
        <x:v>Гайка M16-8; ИСО 4032</x:v>
      </x:c>
      <x:c r="G147" s="23" t="str">
        <x:v>шт</x:v>
      </x:c>
      <x:c r="H147" s="28" t="n">
        <x:v>104</x:v>
      </x:c>
      <x:c r="I147" s="28"/>
      <x:c r="J147" s="28"/>
      <x:c r="K147" s="26" t="str">
        <x:f>IF(I147="","",H147*I147)</x:f>
      </x:c>
      <x:c r="L147" s="26" t="str">
        <x:f>IF(J147="","",K147-J147)</x:f>
      </x:c>
      <x:c r="M147" s="23" t="str">
        <x:v>Крепёж</x:v>
      </x:c>
      <x:c r="N147" s="23"/>
      <x:c r="O147" s="23" t="str">
        <x:v>БСР отнесены к 1 этажу; остальные оставлены общими, без произвольной поэтажной разбивки.</x:v>
      </x:c>
    </x:row>
    <x:row r="148" ht="54" customHeight="1">
      <x:c r="A148" s="23" t="str">
        <x:v>S70_Огнезащита_Балки</x:v>
      </x:c>
      <x:c r="B148" s="23" t="n">
        <x:v>70</x:v>
      </x:c>
      <x:c r="C148" s="23" t="n">
        <x:v>80</x:v>
      </x:c>
      <x:c r="D148" s="23" t="str">
        <x:v>Огнезащита</x:v>
      </x:c>
      <x:c r="E148" s="23" t="str">
        <x:v>Балки</x:v>
      </x:c>
      <x:c r="F148" s="23" t="str">
        <x:v>Огнезащитная облицовка балок R60; КНАУФ-Файерборд 12,5 мм, 2 слоя</x:v>
      </x:c>
      <x:c r="G148" s="23" t="str">
        <x:v>м²</x:v>
      </x:c>
      <x:c r="H148" s="28" t="n">
        <x:v>15.6</x:v>
      </x:c>
      <x:c r="I148" s="28"/>
      <x:c r="J148" s="28"/>
      <x:c r="K148" s="26" t="str">
        <x:f>IF(I148="","",H148*I148)</x:f>
      </x:c>
      <x:c r="L148" s="26" t="str">
        <x:f>IF(J148="","",K148-J148)</x:f>
      </x:c>
      <x:c r="M148" s="23" t="str">
        <x:v>Огнезащита</x:v>
      </x:c>
      <x:c r="N148" s="23"/>
      <x:c r="O148" s="23" t="str">
        <x:v>Дополнение вне 47–69 по прямой ссылке л.55. Площадь поверхности короба, не двух слоёв.</x:v>
      </x:c>
    </x:row>
    <x:row r="149" ht="54" customHeight="1">
      <x:c r="A149" s="23" t="str">
        <x:v>S70_Огнезащита_Косоуры</x:v>
      </x:c>
      <x:c r="B149" s="23" t="n">
        <x:v>70</x:v>
      </x:c>
      <x:c r="C149" s="23" t="n">
        <x:v>80</x:v>
      </x:c>
      <x:c r="D149" s="23" t="str">
        <x:v>Огнезащита</x:v>
      </x:c>
      <x:c r="E149" s="23" t="str">
        <x:v>Косоуры</x:v>
      </x:c>
      <x:c r="F149" s="23" t="str">
        <x:v>Огнезащитная облицовка косоуров R60; КНАУФ-Файерборд 12,5 мм, 2 слоя</x:v>
      </x:c>
      <x:c r="G149" s="23" t="str">
        <x:v>м²</x:v>
      </x:c>
      <x:c r="H149" s="28" t="n">
        <x:v>26.7</x:v>
      </x:c>
      <x:c r="I149" s="28"/>
      <x:c r="J149" s="28"/>
      <x:c r="K149" s="26" t="str">
        <x:f>IF(I149="","",H149*I149)</x:f>
      </x:c>
      <x:c r="L149" s="26" t="str">
        <x:f>IF(J149="","",K149-J149)</x:f>
      </x:c>
      <x:c r="M149" s="23" t="str">
        <x:v>Огнезащита</x:v>
      </x:c>
      <x:c r="N149" s="23"/>
      <x:c r="O149" s="23" t="str">
        <x:v>Общая позиция. Раскладка и распределение поверхностей по этажам в РД не приведены.</x:v>
      </x:c>
    </x:row>
  </x:sheetData>
  <x:mergeCells>
    <x:mergeCell ref="A1:O1"/>
    <x:mergeCell ref="A2:O3"/>
  </x:mergeCells>
  <x:conditionalFormatting sqref="A6:O149">
    <x:cfRule type="expression" dxfId="0" priority="1">
      <x:formula>AND(ISNUMBER($L6),ABS($L6)&gt;0.05)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c11922323c4b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" hidden="0" customWidth="1"/>
    <x:col min="3" max="3" width="12" hidden="0" customWidth="1"/>
    <x:col min="4" max="4" width="9" hidden="0" customWidth="1"/>
    <x:col min="5" max="5" width="43" hidden="0" customWidth="1"/>
    <x:col min="6" max="6" width="7" hidden="0" customWidth="1"/>
    <x:col min="7" max="7" width="11" hidden="0" customWidth="1"/>
    <x:col min="8" max="8" width="10" hidden="0" customWidth="1"/>
    <x:col min="9" max="9" width="10" hidden="0" customWidth="1"/>
    <x:col min="10" max="10" width="13" hidden="0" customWidth="1"/>
    <x:col min="11" max="11" width="12" hidden="0" customWidth="1"/>
    <x:col min="12" max="12" width="15" hidden="0" customWidth="1"/>
    <x:col min="13" max="13" width="18" hidden="0" customWidth="1"/>
    <x:col min="14" max="14" width="23" hidden="0" customWidth="1"/>
    <x:col min="15" max="15" width="27" hidden="0" customWidth="1"/>
    <x:col min="16" max="16" width="55" hidden="0" customWidth="1"/>
    <x:col min="17" max="17" width="12" hidden="0" customWidth="1"/>
    <x:col min="18" max="18" width="14" hidden="0" customWidth="1"/>
  </x:cols>
  <x:sheetData>
    <x:row r="1" ht="32" customHeight="1">
      <x:c r="A1" s="4" t="str">
        <x:v>Л-1 / РЕСУРСЫ БЕЗ ДВОЙНОГО УЧЁТА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3" customHeight="1">
      <x:c r="A2" s="10" t="str">
        <x:v>Итого = количество на изделие × число изделий × число каркасов. Для каркасов берутся стержни листа 65; сборочная масса не прибавляется второй раз. Запас, отходы и стоимость не назначались.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17" t="str">
        <x:v>ID ресурса</x:v>
      </x:c>
      <x:c r="B5" s="17" t="str">
        <x:v>Код этажа</x:v>
      </x:c>
      <x:c r="C5" s="17" t="str">
        <x:v>Конструкция</x:v>
      </x:c>
      <x:c r="D5" s="17" t="str">
        <x:v>Поз.</x:v>
      </x:c>
      <x:c r="E5" s="17" t="str">
        <x:v>Материал / изделие</x:v>
      </x:c>
      <x:c r="F5" s="17" t="str">
        <x:v>Ед.</x:v>
      </x:c>
      <x:c r="G5" s="17" t="str">
        <x:v>На ед.</x:v>
      </x:c>
      <x:c r="H5" s="17" t="str">
        <x:v>Изделий</x:v>
      </x:c>
      <x:c r="I5" s="17" t="str">
        <x:v>Каркасов</x:v>
      </x:c>
      <x:c r="J5" s="17" t="str">
        <x:v>Итого кол.</x:v>
      </x:c>
      <x:c r="K5" s="17" t="str">
        <x:v>Масса ед., кг</x:v>
      </x:c>
      <x:c r="L5" s="17" t="str">
        <x:v>Итого масса, кг</x:v>
      </x:c>
      <x:c r="M5" s="17" t="str">
        <x:v>Группа</x:v>
      </x:c>
      <x:c r="N5" s="17" t="str">
        <x:v>Источник</x:v>
      </x:c>
      <x:c r="O5" s="17" t="str">
        <x:v>ID исходной строки</x:v>
      </x:c>
      <x:c r="P5" s="17" t="str">
        <x:v>Основание / ограничение</x:v>
      </x:c>
      <x:c r="Q5" s="17" t="str">
        <x:v>Длина ед., мм</x:v>
      </x:c>
      <x:c r="R5" s="17" t="str">
        <x:v>Метраж, м</x:v>
      </x:c>
    </x:row>
    <x:row r="6" ht="54" customHeight="1">
      <x:c r="A6" s="23" t="str">
        <x:v>L1_Фп-1/1</x:v>
      </x:c>
      <x:c r="B6" s="23" t="str">
        <x:v>P0</x:v>
      </x:c>
      <x:c r="C6" s="23" t="str">
        <x:v>Фп-1</x:v>
      </x:c>
      <x:c r="D6" s="23" t="str">
        <x:v>1</x:v>
      </x:c>
      <x:c r="E6" s="23" t="str">
        <x:v>∅16 А500С; L=3060 мм; ГОСТ 34028-2016</x:v>
      </x:c>
      <x:c r="F6" s="23" t="str">
        <x:v>шт</x:v>
      </x:c>
      <x:c r="G6" s="26" t="n">
        <x:f>'03_Спец_РД'!H6</x:f>
        <x:v>22</x:v>
      </x:c>
      <x:c r="H6" s="26" t="n">
        <x:f>'02_Экземпляры'!F6</x:f>
        <x:v>1</x:v>
      </x:c>
      <x:c r="I6" s="26" t="n">
        <x:f>1</x:f>
        <x:v>1</x:v>
      </x:c>
      <x:c r="J6" s="26" t="n">
        <x:f>G6*H6*I6</x:f>
        <x:v>22</x:v>
      </x:c>
      <x:c r="K6" s="26" t="n">
        <x:f>IF('03_Спец_РД'!I6="","",'03_Спец_РД'!I6)</x:f>
        <x:v>4.83</x:v>
      </x:c>
      <x:c r="L6" s="26" t="n">
        <x:f>IF(K6="","",J6*K6)</x:f>
        <x:v>106.26</x:v>
      </x:c>
      <x:c r="M6" s="23" t="str">
        <x:v>Арматура</x:v>
      </x:c>
      <x:c r="N6" s="23" t="str">
        <x:v>АС.2 л.48; PDF 58</x:v>
      </x:c>
      <x:c r="O6" s="23" t="str">
        <x:v>S48_Фп-1_1</x:v>
      </x:c>
      <x:c r="P6" s="23" t="str">
        <x:v>Расхождения количества/итога/раскладки — RFI-L01. Исходные числа не исправлены.</x:v>
      </x:c>
      <x:c r="Q6" s="26" t="n">
        <x:f>IF('03_Спец_РД'!N6="","",'03_Спец_РД'!N6)</x:f>
        <x:v>3060</x:v>
      </x:c>
      <x:c r="R6" s="26" t="n">
        <x:f>IF(F6="м",J6,IF(Q6="","",J6*Q6/1000))</x:f>
        <x:v>67.32</x:v>
      </x:c>
    </x:row>
    <x:row r="7" ht="54" customHeight="1">
      <x:c r="A7" s="23" t="str">
        <x:v>L1_Фп-1/2</x:v>
      </x:c>
      <x:c r="B7" s="23" t="str">
        <x:v>P0</x:v>
      </x:c>
      <x:c r="C7" s="23" t="str">
        <x:v>Фп-1</x:v>
      </x:c>
      <x:c r="D7" s="23" t="str">
        <x:v>2</x:v>
      </x:c>
      <x:c r="E7" s="23" t="str">
        <x:v>∅12 А500С; L=7060 мм; ГОСТ 34028-2016</x:v>
      </x:c>
      <x:c r="F7" s="23" t="str">
        <x:v>шт</x:v>
      </x:c>
      <x:c r="G7" s="26" t="n">
        <x:f>'03_Спец_РД'!H7</x:f>
        <x:v>16</x:v>
      </x:c>
      <x:c r="H7" s="26" t="n">
        <x:f>'02_Экземпляры'!F6</x:f>
        <x:v>1</x:v>
      </x:c>
      <x:c r="I7" s="26" t="n">
        <x:f>1</x:f>
        <x:v>1</x:v>
      </x:c>
      <x:c r="J7" s="26" t="n">
        <x:f>G7*H7*I7</x:f>
        <x:v>16</x:v>
      </x:c>
      <x:c r="K7" s="26" t="n">
        <x:f>IF('03_Спец_РД'!I7="","",'03_Спец_РД'!I7)</x:f>
        <x:v>6.27</x:v>
      </x:c>
      <x:c r="L7" s="26" t="n">
        <x:f>IF(K7="","",J7*K7)</x:f>
        <x:v>100.32</x:v>
      </x:c>
      <x:c r="M7" s="23" t="str">
        <x:v>Арматура</x:v>
      </x:c>
      <x:c r="N7" s="23" t="str">
        <x:v>АС.2 л.48; PDF 58</x:v>
      </x:c>
      <x:c r="O7" s="23" t="str">
        <x:v>S48_Фп-1_2</x:v>
      </x:c>
      <x:c r="P7" s="23" t="str">
        <x:v>Расхождения количества/итога/раскладки — RFI-L01. Исходные числа не исправлены.</x:v>
      </x:c>
      <x:c r="Q7" s="26" t="n">
        <x:f>IF('03_Спец_РД'!N7="","",'03_Спец_РД'!N7)</x:f>
        <x:v>7060</x:v>
      </x:c>
      <x:c r="R7" s="26" t="n">
        <x:f>IF(F7="м",J7,IF(Q7="","",J7*Q7/1000))</x:f>
        <x:v>112.96</x:v>
      </x:c>
    </x:row>
    <x:row r="8" ht="54" customHeight="1">
      <x:c r="A8" s="23" t="str">
        <x:v>L1_Фп-1/3</x:v>
      </x:c>
      <x:c r="B8" s="23" t="str">
        <x:v>P0</x:v>
      </x:c>
      <x:c r="C8" s="23" t="str">
        <x:v>Фп-1</x:v>
      </x:c>
      <x:c r="D8" s="23" t="str">
        <x:v>3</x:v>
      </x:c>
      <x:c r="E8" s="23" t="str">
        <x:v>∅12 А500С; L=2860 мм; ГОСТ 34028-2016</x:v>
      </x:c>
      <x:c r="F8" s="23" t="str">
        <x:v>шт</x:v>
      </x:c>
      <x:c r="G8" s="26" t="n">
        <x:f>'03_Спец_РД'!H8</x:f>
        <x:v>20</x:v>
      </x:c>
      <x:c r="H8" s="26" t="n">
        <x:f>'02_Экземпляры'!F6</x:f>
        <x:v>1</x:v>
      </x:c>
      <x:c r="I8" s="26" t="n">
        <x:f>1</x:f>
        <x:v>1</x:v>
      </x:c>
      <x:c r="J8" s="26" t="n">
        <x:f>G8*H8*I8</x:f>
        <x:v>20</x:v>
      </x:c>
      <x:c r="K8" s="26" t="n">
        <x:f>IF('03_Спец_РД'!I8="","",'03_Спец_РД'!I8)</x:f>
        <x:v>2.54</x:v>
      </x:c>
      <x:c r="L8" s="26" t="n">
        <x:f>IF(K8="","",J8*K8)</x:f>
        <x:v>50.8</x:v>
      </x:c>
      <x:c r="M8" s="23" t="str">
        <x:v>Арматура</x:v>
      </x:c>
      <x:c r="N8" s="23" t="str">
        <x:v>АС.2 л.48; PDF 58</x:v>
      </x:c>
      <x:c r="O8" s="23" t="str">
        <x:v>S48_Фп-1_3</x:v>
      </x:c>
      <x:c r="P8" s="23" t="str">
        <x:v>Расхождения количества/итога/раскладки — RFI-L01. Исходные числа не исправлены.</x:v>
      </x:c>
      <x:c r="Q8" s="26" t="n">
        <x:f>IF('03_Спец_РД'!N8="","",'03_Спец_РД'!N8)</x:f>
        <x:v>2860</x:v>
      </x:c>
      <x:c r="R8" s="26" t="n">
        <x:f>IF(F8="м",J8,IF(Q8="","",J8*Q8/1000))</x:f>
        <x:v>57.2</x:v>
      </x:c>
    </x:row>
    <x:row r="9" ht="54" customHeight="1">
      <x:c r="A9" s="23" t="str">
        <x:v>L1_Фп-1/4</x:v>
      </x:c>
      <x:c r="B9" s="23" t="str">
        <x:v>P0</x:v>
      </x:c>
      <x:c r="C9" s="23" t="str">
        <x:v>Фп-1</x:v>
      </x:c>
      <x:c r="D9" s="23" t="str">
        <x:v>4</x:v>
      </x:c>
      <x:c r="E9" s="23" t="str">
        <x:v>∅22 А500С; L=6960 мм; ГОСТ 34028-2016</x:v>
      </x:c>
      <x:c r="F9" s="23" t="str">
        <x:v>шт</x:v>
      </x:c>
      <x:c r="G9" s="26" t="n">
        <x:f>'03_Спец_РД'!H9</x:f>
        <x:v>29</x:v>
      </x:c>
      <x:c r="H9" s="26" t="n">
        <x:f>'02_Экземпляры'!F6</x:f>
        <x:v>1</x:v>
      </x:c>
      <x:c r="I9" s="26" t="n">
        <x:f>1</x:f>
        <x:v>1</x:v>
      </x:c>
      <x:c r="J9" s="26" t="n">
        <x:f>G9*H9*I9</x:f>
        <x:v>29</x:v>
      </x:c>
      <x:c r="K9" s="26" t="n">
        <x:f>IF('03_Спец_РД'!I9="","",'03_Спец_РД'!I9)</x:f>
        <x:v>20.74</x:v>
      </x:c>
      <x:c r="L9" s="26" t="n">
        <x:f>IF(K9="","",J9*K9)</x:f>
        <x:v>601.4599999999999</x:v>
      </x:c>
      <x:c r="M9" s="23" t="str">
        <x:v>Арматура</x:v>
      </x:c>
      <x:c r="N9" s="23" t="str">
        <x:v>АС.2 л.48; PDF 58</x:v>
      </x:c>
      <x:c r="O9" s="23" t="str">
        <x:v>S48_Фп-1_4</x:v>
      </x:c>
      <x:c r="P9" s="23" t="str">
        <x:v>Расхождения количества/итога/раскладки — RFI-L01. Исходные числа не исправлены.</x:v>
      </x:c>
      <x:c r="Q9" s="26" t="n">
        <x:f>IF('03_Спец_РД'!N9="","",'03_Спец_РД'!N9)</x:f>
        <x:v>6960</x:v>
      </x:c>
      <x:c r="R9" s="26" t="n">
        <x:f>IF(F9="м",J9,IF(Q9="","",J9*Q9/1000))</x:f>
        <x:v>201.84</x:v>
      </x:c>
    </x:row>
    <x:row r="10" ht="54" customHeight="1">
      <x:c r="A10" s="23" t="str">
        <x:v>L1_Фп-1/5</x:v>
      </x:c>
      <x:c r="B10" s="23" t="str">
        <x:v>P0</x:v>
      </x:c>
      <x:c r="C10" s="23" t="str">
        <x:v>Фп-1</x:v>
      </x:c>
      <x:c r="D10" s="23" t="str">
        <x:v>5</x:v>
      </x:c>
      <x:c r="E10" s="23" t="str">
        <x:v>∅12 А500С; L=3060 мм; ГОСТ 34028-2016</x:v>
      </x:c>
      <x:c r="F10" s="23" t="str">
        <x:v>шт</x:v>
      </x:c>
      <x:c r="G10" s="26" t="n">
        <x:f>'03_Спец_РД'!H10</x:f>
        <x:v>22</x:v>
      </x:c>
      <x:c r="H10" s="26" t="n">
        <x:f>'02_Экземпляры'!F6</x:f>
        <x:v>1</x:v>
      </x:c>
      <x:c r="I10" s="26" t="n">
        <x:f>1</x:f>
        <x:v>1</x:v>
      </x:c>
      <x:c r="J10" s="26" t="n">
        <x:f>G10*H10*I10</x:f>
        <x:v>22</x:v>
      </x:c>
      <x:c r="K10" s="26" t="n">
        <x:f>IF('03_Спец_РД'!I10="","",'03_Спец_РД'!I10)</x:f>
        <x:v>2.72</x:v>
      </x:c>
      <x:c r="L10" s="26" t="n">
        <x:f>IF(K10="","",J10*K10)</x:f>
        <x:v>59.84</x:v>
      </x:c>
      <x:c r="M10" s="23" t="str">
        <x:v>Арматура</x:v>
      </x:c>
      <x:c r="N10" s="23" t="str">
        <x:v>АС.2 л.48; PDF 58</x:v>
      </x:c>
      <x:c r="O10" s="23" t="str">
        <x:v>S48_Фп-1_5</x:v>
      </x:c>
      <x:c r="P10" s="23" t="str">
        <x:v>Расхождения количества/итога/раскладки — RFI-L01. Исходные числа не исправлены.</x:v>
      </x:c>
      <x:c r="Q10" s="26" t="n">
        <x:f>IF('03_Спец_РД'!N10="","",'03_Спец_РД'!N10)</x:f>
        <x:v>3060</x:v>
      </x:c>
      <x:c r="R10" s="26" t="n">
        <x:f>IF(F10="м",J10,IF(Q10="","",J10*Q10/1000))</x:f>
        <x:v>67.32</x:v>
      </x:c>
    </x:row>
    <x:row r="11" ht="54" customHeight="1">
      <x:c r="A11" s="23" t="str">
        <x:v>L1_Фп-1/6</x:v>
      </x:c>
      <x:c r="B11" s="23" t="str">
        <x:v>P0</x:v>
      </x:c>
      <x:c r="C11" s="23" t="str">
        <x:v>Фп-1</x:v>
      </x:c>
      <x:c r="D11" s="23" t="str">
        <x:v>6</x:v>
      </x:c>
      <x:c r="E11" s="23" t="str">
        <x:v>∅12 А500С; L=7060 мм; ГОСТ 34028-2016</x:v>
      </x:c>
      <x:c r="F11" s="23" t="str">
        <x:v>шт</x:v>
      </x:c>
      <x:c r="G11" s="26" t="n">
        <x:f>'03_Спец_РД'!H11</x:f>
        <x:v>16</x:v>
      </x:c>
      <x:c r="H11" s="26" t="n">
        <x:f>'02_Экземпляры'!F6</x:f>
        <x:v>1</x:v>
      </x:c>
      <x:c r="I11" s="26" t="n">
        <x:f>1</x:f>
        <x:v>1</x:v>
      </x:c>
      <x:c r="J11" s="26" t="n">
        <x:f>G11*H11*I11</x:f>
        <x:v>16</x:v>
      </x:c>
      <x:c r="K11" s="26" t="n">
        <x:f>IF('03_Спец_РД'!I11="","",'03_Спец_РД'!I11)</x:f>
        <x:v>6.27</x:v>
      </x:c>
      <x:c r="L11" s="26" t="n">
        <x:f>IF(K11="","",J11*K11)</x:f>
        <x:v>100.32</x:v>
      </x:c>
      <x:c r="M11" s="23" t="str">
        <x:v>Арматура</x:v>
      </x:c>
      <x:c r="N11" s="23" t="str">
        <x:v>АС.2 л.48; PDF 58</x:v>
      </x:c>
      <x:c r="O11" s="23" t="str">
        <x:v>S48_Фп-1_6</x:v>
      </x:c>
      <x:c r="P11" s="23" t="str">
        <x:v>Расхождения количества/итога/раскладки — RFI-L01. Исходные числа не исправлены.</x:v>
      </x:c>
      <x:c r="Q11" s="26" t="n">
        <x:f>IF('03_Спец_РД'!N11="","",'03_Спец_РД'!N11)</x:f>
        <x:v>7060</x:v>
      </x:c>
      <x:c r="R11" s="26" t="n">
        <x:f>IF(F11="м",J11,IF(Q11="","",J11*Q11/1000))</x:f>
        <x:v>112.96</x:v>
      </x:c>
    </x:row>
    <x:row r="12" ht="54" customHeight="1">
      <x:c r="A12" s="23" t="str">
        <x:v>L1_Фп-1/7</x:v>
      </x:c>
      <x:c r="B12" s="23" t="str">
        <x:v>P0</x:v>
      </x:c>
      <x:c r="C12" s="23" t="str">
        <x:v>Фп-1</x:v>
      </x:c>
      <x:c r="D12" s="23" t="str">
        <x:v>7</x:v>
      </x:c>
      <x:c r="E12" s="23" t="str">
        <x:v>∅12 А500С; L=2860 мм; ГОСТ 34028-2016</x:v>
      </x:c>
      <x:c r="F12" s="23" t="str">
        <x:v>шт</x:v>
      </x:c>
      <x:c r="G12" s="26" t="n">
        <x:f>'03_Спец_РД'!H12</x:f>
        <x:v>20</x:v>
      </x:c>
      <x:c r="H12" s="26" t="n">
        <x:f>'02_Экземпляры'!F6</x:f>
        <x:v>1</x:v>
      </x:c>
      <x:c r="I12" s="26" t="n">
        <x:f>1</x:f>
        <x:v>1</x:v>
      </x:c>
      <x:c r="J12" s="26" t="n">
        <x:f>G12*H12*I12</x:f>
        <x:v>20</x:v>
      </x:c>
      <x:c r="K12" s="26" t="n">
        <x:f>IF('03_Спец_РД'!I12="","",'03_Спец_РД'!I12)</x:f>
        <x:v>2.54</x:v>
      </x:c>
      <x:c r="L12" s="26" t="n">
        <x:f>IF(K12="","",J12*K12)</x:f>
        <x:v>50.8</x:v>
      </x:c>
      <x:c r="M12" s="23" t="str">
        <x:v>Арматура</x:v>
      </x:c>
      <x:c r="N12" s="23" t="str">
        <x:v>АС.2 л.48; PDF 58</x:v>
      </x:c>
      <x:c r="O12" s="23" t="str">
        <x:v>S48_Фп-1_7</x:v>
      </x:c>
      <x:c r="P12" s="23" t="str">
        <x:v>Расхождения количества/итога/раскладки — RFI-L01. Исходные числа не исправлены.</x:v>
      </x:c>
      <x:c r="Q12" s="26" t="n">
        <x:f>IF('03_Спец_РД'!N12="","",'03_Спец_РД'!N12)</x:f>
        <x:v>2860</x:v>
      </x:c>
      <x:c r="R12" s="26" t="n">
        <x:f>IF(F12="м",J12,IF(Q12="","",J12*Q12/1000))</x:f>
        <x:v>57.2</x:v>
      </x:c>
    </x:row>
    <x:row r="13" ht="54" customHeight="1">
      <x:c r="A13" s="23" t="str">
        <x:v>L1_Фп-1/8</x:v>
      </x:c>
      <x:c r="B13" s="23" t="str">
        <x:v>P0</x:v>
      </x:c>
      <x:c r="C13" s="23" t="str">
        <x:v>Фп-1</x:v>
      </x:c>
      <x:c r="D13" s="23" t="str">
        <x:v>8</x:v>
      </x:c>
      <x:c r="E13" s="23" t="str">
        <x:v>∅12 А500С; L=6960 мм; ГОСТ 34028-2016</x:v>
      </x:c>
      <x:c r="F13" s="23" t="str">
        <x:v>шт</x:v>
      </x:c>
      <x:c r="G13" s="26" t="n">
        <x:f>'03_Спец_РД'!H13</x:f>
        <x:v>15</x:v>
      </x:c>
      <x:c r="H13" s="26" t="n">
        <x:f>'02_Экземпляры'!F6</x:f>
        <x:v>1</x:v>
      </x:c>
      <x:c r="I13" s="26" t="n">
        <x:f>1</x:f>
        <x:v>1</x:v>
      </x:c>
      <x:c r="J13" s="26" t="n">
        <x:f>G13*H13*I13</x:f>
        <x:v>15</x:v>
      </x:c>
      <x:c r="K13" s="26" t="n">
        <x:f>IF('03_Спец_РД'!I13="","",'03_Спец_РД'!I13)</x:f>
        <x:v>6.18</x:v>
      </x:c>
      <x:c r="L13" s="26" t="n">
        <x:f>IF(K13="","",J13*K13)</x:f>
        <x:v>92.69999999999999</x:v>
      </x:c>
      <x:c r="M13" s="23" t="str">
        <x:v>Арматура</x:v>
      </x:c>
      <x:c r="N13" s="23" t="str">
        <x:v>АС.2 л.48; PDF 58</x:v>
      </x:c>
      <x:c r="O13" s="23" t="str">
        <x:v>S48_Фп-1_8</x:v>
      </x:c>
      <x:c r="P13" s="23" t="str">
        <x:v>Расхождения количества/итога/раскладки — RFI-L01. Исходные числа не исправлены.</x:v>
      </x:c>
      <x:c r="Q13" s="26" t="n">
        <x:f>IF('03_Спец_РД'!N13="","",'03_Спец_РД'!N13)</x:f>
        <x:v>6960</x:v>
      </x:c>
      <x:c r="R13" s="26" t="n">
        <x:f>IF(F13="м",J13,IF(Q13="","",J13*Q13/1000))</x:f>
        <x:v>104.4</x:v>
      </x:c>
    </x:row>
    <x:row r="14" ht="54" customHeight="1">
      <x:c r="A14" s="23" t="str">
        <x:v>L1_Фп-1/П-1</x:v>
      </x:c>
      <x:c r="B14" s="23" t="str">
        <x:v>P0</x:v>
      </x:c>
      <x:c r="C14" s="23" t="str">
        <x:v>Фп-1</x:v>
      </x:c>
      <x:c r="D14" s="23" t="str">
        <x:v>П-1</x:v>
      </x:c>
      <x:c r="E14" s="23" t="str">
        <x:v>∅12 А500С; L=1400 мм; ГОСТ 34028-2016</x:v>
      </x:c>
      <x:c r="F14" s="23" t="str">
        <x:v>шт</x:v>
      </x:c>
      <x:c r="G14" s="26" t="n">
        <x:f>'03_Спец_РД'!H14</x:f>
        <x:v>141</x:v>
      </x:c>
      <x:c r="H14" s="26" t="n">
        <x:f>'02_Экземпляры'!F6</x:f>
        <x:v>1</x:v>
      </x:c>
      <x:c r="I14" s="26" t="n">
        <x:f>1</x:f>
        <x:v>1</x:v>
      </x:c>
      <x:c r="J14" s="26" t="n">
        <x:f>G14*H14*I14</x:f>
        <x:v>141</x:v>
      </x:c>
      <x:c r="K14" s="26" t="n">
        <x:f>IF('03_Спец_РД'!I14="","",'03_Спец_РД'!I14)</x:f>
        <x:v>1.24</x:v>
      </x:c>
      <x:c r="L14" s="26" t="n">
        <x:f>IF(K14="","",J14*K14)</x:f>
        <x:v>174.84</x:v>
      </x:c>
      <x:c r="M14" s="23" t="str">
        <x:v>Арматура</x:v>
      </x:c>
      <x:c r="N14" s="23" t="str">
        <x:v>АС.2 л.48; PDF 58</x:v>
      </x:c>
      <x:c r="O14" s="23" t="str">
        <x:v>S48_Фп-1_П-1</x:v>
      </x:c>
      <x:c r="P14" s="23" t="str">
        <x:v>RFI-L01: итог в РД не равен количеству × массе.</x:v>
      </x:c>
      <x:c r="Q14" s="26" t="n">
        <x:f>IF('03_Спец_РД'!N14="","",'03_Спец_РД'!N14)</x:f>
        <x:v>1400</x:v>
      </x:c>
      <x:c r="R14" s="26" t="n">
        <x:f>IF(F14="м",J14,IF(Q14="","",J14*Q14/1000))</x:f>
        <x:v>197.4</x:v>
      </x:c>
    </x:row>
    <x:row r="15" ht="54" customHeight="1">
      <x:c r="A15" s="23" t="str">
        <x:v>L1_Фп-1/Ф-1</x:v>
      </x:c>
      <x:c r="B15" s="23" t="str">
        <x:v>P0</x:v>
      </x:c>
      <x:c r="C15" s="23" t="str">
        <x:v>Фп-1</x:v>
      </x:c>
      <x:c r="D15" s="23" t="str">
        <x:v>Ф-1</x:v>
      </x:c>
      <x:c r="E15" s="23" t="str">
        <x:v>∅10 А240; L=1130 мм; ГОСТ 34028-2016</x:v>
      </x:c>
      <x:c r="F15" s="23" t="str">
        <x:v>шт</x:v>
      </x:c>
      <x:c r="G15" s="26" t="n">
        <x:f>'03_Спец_РД'!H15</x:f>
        <x:v>52</x:v>
      </x:c>
      <x:c r="H15" s="26" t="n">
        <x:f>'02_Экземпляры'!F6</x:f>
        <x:v>1</x:v>
      </x:c>
      <x:c r="I15" s="26" t="n">
        <x:f>1</x:f>
        <x:v>1</x:v>
      </x:c>
      <x:c r="J15" s="26" t="n">
        <x:f>G15*H15*I15</x:f>
        <x:v>52</x:v>
      </x:c>
      <x:c r="K15" s="26" t="n">
        <x:f>IF('03_Спец_РД'!I15="","",'03_Спец_РД'!I15)</x:f>
        <x:v>0.7</x:v>
      </x:c>
      <x:c r="L15" s="26" t="n">
        <x:f>IF(K15="","",J15*K15)</x:f>
        <x:v>36.4</x:v>
      </x:c>
      <x:c r="M15" s="23" t="str">
        <x:v>Арматура</x:v>
      </x:c>
      <x:c r="N15" s="23" t="str">
        <x:v>АС.2 л.48; PDF 58</x:v>
      </x:c>
      <x:c r="O15" s="23" t="str">
        <x:v>S48_Фп-1_Ф-1</x:v>
      </x:c>
      <x:c r="P15" s="23" t="str">
        <x:v>RFI-L01</x:v>
      </x:c>
      <x:c r="Q15" s="26" t="n">
        <x:f>IF('03_Спец_РД'!N15="","",'03_Спец_РД'!N15)</x:f>
        <x:v>1130</x:v>
      </x:c>
      <x:c r="R15" s="26" t="n">
        <x:f>IF(F15="м",J15,IF(Q15="","",J15*Q15/1000))</x:f>
        <x:v>58.76</x:v>
      </x:c>
    </x:row>
    <x:row r="16" ht="54" customHeight="1">
      <x:c r="A16" s="23" t="str">
        <x:v>L1_Фп-1/В-1</x:v>
      </x:c>
      <x:c r="B16" s="23" t="str">
        <x:v>P0</x:v>
      </x:c>
      <x:c r="C16" s="23" t="str">
        <x:v>Фп-1</x:v>
      </x:c>
      <x:c r="D16" s="23" t="str">
        <x:v>В-1</x:v>
      </x:c>
      <x:c r="E16" s="23" t="str">
        <x:v>∅12 А500С; L=2430 мм; ГОСТ 34028-2016</x:v>
      </x:c>
      <x:c r="F16" s="23" t="str">
        <x:v>шт</x:v>
      </x:c>
      <x:c r="G16" s="26" t="n">
        <x:f>'03_Спец_РД'!H16</x:f>
        <x:v>134</x:v>
      </x:c>
      <x:c r="H16" s="26" t="n">
        <x:f>'02_Экземпляры'!F6</x:f>
        <x:v>1</x:v>
      </x:c>
      <x:c r="I16" s="26" t="n">
        <x:f>1</x:f>
        <x:v>1</x:v>
      </x:c>
      <x:c r="J16" s="26" t="n">
        <x:f>G16*H16*I16</x:f>
        <x:v>134</x:v>
      </x:c>
      <x:c r="K16" s="26" t="n">
        <x:f>IF('03_Спец_РД'!I16="","",'03_Спец_РД'!I16)</x:f>
        <x:v>2.16</x:v>
      </x:c>
      <x:c r="L16" s="26" t="n">
        <x:f>IF(K16="","",J16*K16)</x:f>
        <x:v>289.44</x:v>
      </x:c>
      <x:c r="M16" s="23" t="str">
        <x:v>Арматура</x:v>
      </x:c>
      <x:c r="N16" s="23" t="str">
        <x:v>АС.2 л.48; PDF 58</x:v>
      </x:c>
      <x:c r="O16" s="23" t="str">
        <x:v>S48_Фп-1_В-1</x:v>
      </x:c>
      <x:c r="P16" s="23" t="str">
        <x:v>Выпуски учтены здесь один раз, не повторяются в стенах.</x:v>
      </x:c>
      <x:c r="Q16" s="26" t="n">
        <x:f>IF('03_Спец_РД'!N16="","",'03_Спец_РД'!N16)</x:f>
        <x:v>2430</x:v>
      </x:c>
      <x:c r="R16" s="26" t="n">
        <x:f>IF(F16="м",J16,IF(Q16="","",J16*Q16/1000))</x:f>
        <x:v>325.62</x:v>
      </x:c>
    </x:row>
    <x:row r="17" ht="54" customHeight="1">
      <x:c r="A17" s="23" t="str">
        <x:v>L1_Фп-1/Бетон</x:v>
      </x:c>
      <x:c r="B17" s="23" t="str">
        <x:v>P0</x:v>
      </x:c>
      <x:c r="C17" s="23" t="str">
        <x:v>Фп-1</x:v>
      </x:c>
      <x:c r="D17" s="23" t="str">
        <x:v>Бетон</x:v>
      </x:c>
      <x:c r="E17" s="23" t="str">
        <x:v>Тяжёлый бетон В25 F150 W6; ГОСТ 26633-2015</x:v>
      </x:c>
      <x:c r="F17" s="23" t="str">
        <x:v>м³</x:v>
      </x:c>
      <x:c r="G17" s="26" t="n">
        <x:f>'03_Спец_РД'!H17</x:f>
        <x:v>12</x:v>
      </x:c>
      <x:c r="H17" s="26" t="n">
        <x:f>'02_Экземпляры'!F6</x:f>
        <x:v>1</x:v>
      </x:c>
      <x:c r="I17" s="26" t="n">
        <x:f>1</x:f>
        <x:v>1</x:v>
      </x:c>
      <x:c r="J17" s="26" t="n">
        <x:f>G17*H17*I17</x:f>
        <x:v>12</x:v>
      </x:c>
      <x:c r="K17" s="26" t="str">
        <x:f>IF('03_Спец_РД'!I17="","",'03_Спец_РД'!I17)</x:f>
      </x:c>
      <x:c r="L17" s="26" t="str">
        <x:f>IF(K17="","",J17*K17)</x:f>
      </x:c>
      <x:c r="M17" s="23" t="str">
        <x:v>Бетон В25</x:v>
      </x:c>
      <x:c r="N17" s="23" t="str">
        <x:v>АС.2 л.48; PDF 58</x:v>
      </x:c>
      <x:c r="O17" s="23" t="str">
        <x:v>S48_Фп-1_Бетон</x:v>
      </x:c>
      <x:c r="P17" s="23" t="str">
        <x:v>РД: 12 м³; контроль геометрии вынесен отдельно. Не подогнано.</x:v>
      </x:c>
      <x:c r="Q17" s="26" t="str">
        <x:f>IF('03_Спец_РД'!N17="","",'03_Спец_РД'!N17)</x:f>
      </x:c>
      <x:c r="R17" s="26" t="str">
        <x:f>IF(F17="м",J17,IF(Q17="","",J17*Q17/1000))</x:f>
      </x:c>
    </x:row>
    <x:row r="18" ht="54" customHeight="1">
      <x:c r="A18" s="23" t="str">
        <x:v>L1_Фп-1/Подготовка</x:v>
      </x:c>
      <x:c r="B18" s="23" t="str">
        <x:v>P0</x:v>
      </x:c>
      <x:c r="C18" s="23" t="str">
        <x:v>Фп-1</x:v>
      </x:c>
      <x:c r="D18" s="23" t="str">
        <x:v>Подготовка</x:v>
      </x:c>
      <x:c r="E18" s="23" t="str">
        <x:v>Тяжёлый бетон В7,5; ГОСТ 26633-2015</x:v>
      </x:c>
      <x:c r="F18" s="23" t="str">
        <x:v>м³</x:v>
      </x:c>
      <x:c r="G18" s="26" t="n">
        <x:f>'03_Спец_РД'!H18</x:f>
        <x:v>4.3</x:v>
      </x:c>
      <x:c r="H18" s="26" t="n">
        <x:f>'02_Экземпляры'!F6</x:f>
        <x:v>1</x:v>
      </x:c>
      <x:c r="I18" s="26" t="n">
        <x:f>1</x:f>
        <x:v>1</x:v>
      </x:c>
      <x:c r="J18" s="26" t="n">
        <x:f>G18*H18*I18</x:f>
        <x:v>4.3</x:v>
      </x:c>
      <x:c r="K18" s="26" t="str">
        <x:f>IF('03_Спец_РД'!I18="","",'03_Спец_РД'!I18)</x:f>
      </x:c>
      <x:c r="L18" s="26" t="str">
        <x:f>IF(K18="","",J18*K18)</x:f>
      </x:c>
      <x:c r="M18" s="23" t="str">
        <x:v>Бетон В7,5</x:v>
      </x:c>
      <x:c r="N18" s="23" t="str">
        <x:v>АС.2 л.48; PDF 58</x:v>
      </x:c>
      <x:c r="O18" s="23" t="str">
        <x:v>S48_Фп-1_Подготовка</x:v>
      </x:c>
      <x:c r="P18" s="23" t="str">
        <x:v>Подготовка. РД: 4,3 м³; контроль площади отдельно.</x:v>
      </x:c>
      <x:c r="Q18" s="26" t="str">
        <x:f>IF('03_Спец_РД'!N18="","",'03_Спец_РД'!N18)</x:f>
      </x:c>
      <x:c r="R18" s="26" t="str">
        <x:f>IF(F18="м",J18,IF(Q18="","",J18*Q18/1000))</x:f>
      </x:c>
    </x:row>
    <x:row r="19" ht="54" customHeight="1">
      <x:c r="A19" s="23" t="str">
        <x:v>L1_С-1-1/1</x:v>
      </x:c>
      <x:c r="B19" s="23" t="str">
        <x:v>P0</x:v>
      </x:c>
      <x:c r="C19" s="23" t="str">
        <x:v>С-1-1</x:v>
      </x:c>
      <x:c r="D19" s="23" t="str">
        <x:v>1</x:v>
      </x:c>
      <x:c r="E19" s="23" t="str">
        <x:v>∅12 А500С; L=3050 мм; ГОСТ 34028-2016</x:v>
      </x:c>
      <x:c r="F19" s="23" t="str">
        <x:v>шт</x:v>
      </x:c>
      <x:c r="G19" s="26" t="n">
        <x:f>'03_Спец_РД'!H19</x:f>
        <x:v>12</x:v>
      </x:c>
      <x:c r="H19" s="26" t="n">
        <x:f>'02_Экземпляры'!F7</x:f>
        <x:v>1</x:v>
      </x:c>
      <x:c r="I19" s="26" t="n">
        <x:f>1</x:f>
        <x:v>1</x:v>
      </x:c>
      <x:c r="J19" s="26" t="n">
        <x:f>G19*H19*I19</x:f>
        <x:v>12</x:v>
      </x:c>
      <x:c r="K19" s="26" t="n">
        <x:f>IF('03_Спец_РД'!I19="","",'03_Спец_РД'!I19)</x:f>
        <x:v>2.71</x:v>
      </x:c>
      <x:c r="L19" s="26" t="n">
        <x:f>IF(K19="","",J19*K19)</x:f>
        <x:v>32.519999999999996</x:v>
      </x:c>
      <x:c r="M19" s="23" t="str">
        <x:v>Арматура</x:v>
      </x:c>
      <x:c r="N19" s="23" t="str">
        <x:v>АС.2 л.50; PDF 60</x:v>
      </x:c>
      <x:c r="O19" s="23" t="str">
        <x:v>S50_С-1-1_1</x:v>
      </x:c>
      <x:c r="P19" s="23" t="str"/>
      <x:c r="Q19" s="26" t="n">
        <x:f>IF('03_Спец_РД'!N19="","",'03_Спец_РД'!N19)</x:f>
        <x:v>3050</x:v>
      </x:c>
      <x:c r="R19" s="26" t="n">
        <x:f>IF(F19="м",J19,IF(Q19="","",J19*Q19/1000))</x:f>
        <x:v>36.6</x:v>
      </x:c>
    </x:row>
    <x:row r="20" ht="54" customHeight="1">
      <x:c r="A20" s="23" t="str">
        <x:v>L1_С-1-1/2</x:v>
      </x:c>
      <x:c r="B20" s="23" t="str">
        <x:v>P0</x:v>
      </x:c>
      <x:c r="C20" s="23" t="str">
        <x:v>С-1-1</x:v>
      </x:c>
      <x:c r="D20" s="23" t="str">
        <x:v>2</x:v>
      </x:c>
      <x:c r="E20" s="23" t="str">
        <x:v>∅12 А500С; L=1750 мм; ГОСТ 34028-2016</x:v>
      </x:c>
      <x:c r="F20" s="23" t="str">
        <x:v>шт</x:v>
      </x:c>
      <x:c r="G20" s="26" t="n">
        <x:f>'03_Спец_РД'!H20</x:f>
        <x:v>14</x:v>
      </x:c>
      <x:c r="H20" s="26" t="n">
        <x:f>'02_Экземпляры'!F7</x:f>
        <x:v>1</x:v>
      </x:c>
      <x:c r="I20" s="26" t="n">
        <x:f>1</x:f>
        <x:v>1</x:v>
      </x:c>
      <x:c r="J20" s="26" t="n">
        <x:f>G20*H20*I20</x:f>
        <x:v>14</x:v>
      </x:c>
      <x:c r="K20" s="26" t="n">
        <x:f>IF('03_Спец_РД'!I20="","",'03_Спец_РД'!I20)</x:f>
        <x:v>1.55</x:v>
      </x:c>
      <x:c r="L20" s="26" t="n">
        <x:f>IF(K20="","",J20*K20)</x:f>
        <x:v>21.7</x:v>
      </x:c>
      <x:c r="M20" s="23" t="str">
        <x:v>Арматура</x:v>
      </x:c>
      <x:c r="N20" s="23" t="str">
        <x:v>АС.2 л.50; PDF 60</x:v>
      </x:c>
      <x:c r="O20" s="23" t="str">
        <x:v>S50_С-1-1_2</x:v>
      </x:c>
      <x:c r="P20" s="23" t="str"/>
      <x:c r="Q20" s="26" t="n">
        <x:f>IF('03_Спец_РД'!N20="","",'03_Спец_РД'!N20)</x:f>
        <x:v>1750</x:v>
      </x:c>
      <x:c r="R20" s="26" t="n">
        <x:f>IF(F20="м",J20,IF(Q20="","",J20*Q20/1000))</x:f>
        <x:v>24.5</x:v>
      </x:c>
    </x:row>
    <x:row r="21" ht="54" customHeight="1">
      <x:c r="A21" s="23" t="str">
        <x:v>L1_С-1-1/П-2</x:v>
      </x:c>
      <x:c r="B21" s="23" t="str">
        <x:v>P0</x:v>
      </x:c>
      <x:c r="C21" s="23" t="str">
        <x:v>С-1-1</x:v>
      </x:c>
      <x:c r="D21" s="23" t="str">
        <x:v>П-2</x:v>
      </x:c>
      <x:c r="E21" s="23" t="str">
        <x:v>∅12 А500С; L=1160 мм; ГОСТ 34028-2016</x:v>
      </x:c>
      <x:c r="F21" s="23" t="str">
        <x:v>шт</x:v>
      </x:c>
      <x:c r="G21" s="26" t="n">
        <x:f>'03_Спец_РД'!H21</x:f>
        <x:v>25</x:v>
      </x:c>
      <x:c r="H21" s="26" t="n">
        <x:f>'02_Экземпляры'!F7</x:f>
        <x:v>1</x:v>
      </x:c>
      <x:c r="I21" s="26" t="n">
        <x:f>1</x:f>
        <x:v>1</x:v>
      </x:c>
      <x:c r="J21" s="26" t="n">
        <x:f>G21*H21*I21</x:f>
        <x:v>25</x:v>
      </x:c>
      <x:c r="K21" s="26" t="n">
        <x:f>IF('03_Спец_РД'!I21="","",'03_Спец_РД'!I21)</x:f>
        <x:v>1.03</x:v>
      </x:c>
      <x:c r="L21" s="26" t="n">
        <x:f>IF(K21="","",J21*K21)</x:f>
        <x:v>25.75</x:v>
      </x:c>
      <x:c r="M21" s="23" t="str">
        <x:v>Арматура</x:v>
      </x:c>
      <x:c r="N21" s="23" t="str">
        <x:v>АС.2 л.50; PDF 60</x:v>
      </x:c>
      <x:c r="O21" s="23" t="str">
        <x:v>S50_С-1-1_П-2</x:v>
      </x:c>
      <x:c r="P21" s="23" t="str"/>
      <x:c r="Q21" s="26" t="n">
        <x:f>IF('03_Спец_РД'!N21="","",'03_Спец_РД'!N21)</x:f>
        <x:v>1160</x:v>
      </x:c>
      <x:c r="R21" s="26" t="n">
        <x:f>IF(F21="м",J21,IF(Q21="","",J21*Q21/1000))</x:f>
        <x:v>29</x:v>
      </x:c>
    </x:row>
    <x:row r="22" ht="54" customHeight="1">
      <x:c r="A22" s="23" t="str">
        <x:v>L1_С-1-1/П-3</x:v>
      </x:c>
      <x:c r="B22" s="23" t="str">
        <x:v>P0</x:v>
      </x:c>
      <x:c r="C22" s="23" t="str">
        <x:v>С-1-1</x:v>
      </x:c>
      <x:c r="D22" s="23" t="str">
        <x:v>П-3</x:v>
      </x:c>
      <x:c r="E22" s="23" t="str">
        <x:v>∅12 А500С; L=1140 мм; ГОСТ 34028-2016</x:v>
      </x:c>
      <x:c r="F22" s="23" t="str">
        <x:v>шт</x:v>
      </x:c>
      <x:c r="G22" s="26" t="n">
        <x:f>'03_Спец_РД'!H22</x:f>
        <x:v>11</x:v>
      </x:c>
      <x:c r="H22" s="26" t="n">
        <x:f>'02_Экземпляры'!F7</x:f>
        <x:v>1</x:v>
      </x:c>
      <x:c r="I22" s="26" t="n">
        <x:f>1</x:f>
        <x:v>1</x:v>
      </x:c>
      <x:c r="J22" s="26" t="n">
        <x:f>G22*H22*I22</x:f>
        <x:v>11</x:v>
      </x:c>
      <x:c r="K22" s="26" t="n">
        <x:f>IF('03_Спец_РД'!I22="","",'03_Спец_РД'!I22)</x:f>
        <x:v>1.01</x:v>
      </x:c>
      <x:c r="L22" s="26" t="n">
        <x:f>IF(K22="","",J22*K22)</x:f>
        <x:v>11.11</x:v>
      </x:c>
      <x:c r="M22" s="23" t="str">
        <x:v>Арматура</x:v>
      </x:c>
      <x:c r="N22" s="23" t="str">
        <x:v>АС.2 л.50; PDF 60</x:v>
      </x:c>
      <x:c r="O22" s="23" t="str">
        <x:v>S50_С-1-1_П-3</x:v>
      </x:c>
      <x:c r="P22" s="23" t="str"/>
      <x:c r="Q22" s="26" t="n">
        <x:f>IF('03_Спец_РД'!N22="","",'03_Спец_РД'!N22)</x:f>
        <x:v>1140</x:v>
      </x:c>
      <x:c r="R22" s="26" t="n">
        <x:f>IF(F22="м",J22,IF(Q22="","",J22*Q22/1000))</x:f>
        <x:v>12.54</x:v>
      </x:c>
    </x:row>
    <x:row r="23" ht="54" customHeight="1">
      <x:c r="A23" s="23" t="str">
        <x:v>L1_С-1-1/Ш-1</x:v>
      </x:c>
      <x:c r="B23" s="23" t="str">
        <x:v>P0</x:v>
      </x:c>
      <x:c r="C23" s="23" t="str">
        <x:v>С-1-1</x:v>
      </x:c>
      <x:c r="D23" s="23" t="str">
        <x:v>Ш-1</x:v>
      </x:c>
      <x:c r="E23" s="23" t="str">
        <x:v>∅10 А240; L=290 мм; ГОСТ 34028-2016</x:v>
      </x:c>
      <x:c r="F23" s="23" t="str">
        <x:v>шт</x:v>
      </x:c>
      <x:c r="G23" s="26" t="n">
        <x:f>'03_Спец_РД'!H23</x:f>
        <x:v>34</x:v>
      </x:c>
      <x:c r="H23" s="26" t="n">
        <x:f>'02_Экземпляры'!F7</x:f>
        <x:v>1</x:v>
      </x:c>
      <x:c r="I23" s="26" t="n">
        <x:f>1</x:f>
        <x:v>1</x:v>
      </x:c>
      <x:c r="J23" s="26" t="n">
        <x:f>G23*H23*I23</x:f>
        <x:v>34</x:v>
      </x:c>
      <x:c r="K23" s="26" t="n">
        <x:f>IF('03_Спец_РД'!I23="","",'03_Спец_РД'!I23)</x:f>
        <x:v>0.18</x:v>
      </x:c>
      <x:c r="L23" s="26" t="n">
        <x:f>IF(K23="","",J23*K23)</x:f>
        <x:v>6.12</x:v>
      </x:c>
      <x:c r="M23" s="23" t="str">
        <x:v>Арматура</x:v>
      </x:c>
      <x:c r="N23" s="23" t="str">
        <x:v>АС.2 л.50; PDF 60</x:v>
      </x:c>
      <x:c r="O23" s="23" t="str">
        <x:v>S50_С-1-1_Ш-1</x:v>
      </x:c>
      <x:c r="P23" s="23" t="str"/>
      <x:c r="Q23" s="26" t="n">
        <x:f>IF('03_Спец_РД'!N23="","",'03_Спец_РД'!N23)</x:f>
        <x:v>290</x:v>
      </x:c>
      <x:c r="R23" s="26" t="n">
        <x:f>IF(F23="м",J23,IF(Q23="","",J23*Q23/1000))</x:f>
        <x:v>9.86</x:v>
      </x:c>
    </x:row>
    <x:row r="24" ht="54" customHeight="1">
      <x:c r="A24" s="23" t="str">
        <x:v>L1_С-1-1/Х-1</x:v>
      </x:c>
      <x:c r="B24" s="23" t="str">
        <x:v>P0</x:v>
      </x:c>
      <x:c r="C24" s="23" t="str">
        <x:v>С-1-1</x:v>
      </x:c>
      <x:c r="D24" s="23" t="str">
        <x:v>Х-1</x:v>
      </x:c>
      <x:c r="E24" s="23" t="str">
        <x:v>∅12 А500С; L=1930 мм; ГОСТ 34028-2016</x:v>
      </x:c>
      <x:c r="F24" s="23" t="str">
        <x:v>шт</x:v>
      </x:c>
      <x:c r="G24" s="26" t="n">
        <x:f>'03_Спец_РД'!H24</x:f>
        <x:v>6</x:v>
      </x:c>
      <x:c r="H24" s="26" t="n">
        <x:f>'02_Экземпляры'!F7</x:f>
        <x:v>1</x:v>
      </x:c>
      <x:c r="I24" s="26" t="n">
        <x:f>1</x:f>
        <x:v>1</x:v>
      </x:c>
      <x:c r="J24" s="26" t="n">
        <x:f>G24*H24*I24</x:f>
        <x:v>6</x:v>
      </x:c>
      <x:c r="K24" s="26" t="n">
        <x:f>IF('03_Спец_РД'!I24="","",'03_Спец_РД'!I24)</x:f>
        <x:v>1.71</x:v>
      </x:c>
      <x:c r="L24" s="26" t="n">
        <x:f>IF(K24="","",J24*K24)</x:f>
        <x:v>10.26</x:v>
      </x:c>
      <x:c r="M24" s="23" t="str">
        <x:v>Арматура</x:v>
      </x:c>
      <x:c r="N24" s="23" t="str">
        <x:v>АС.2 л.50; PDF 60</x:v>
      </x:c>
      <x:c r="O24" s="23" t="str">
        <x:v>S50_С-1-1_Х-1</x:v>
      </x:c>
      <x:c r="P24" s="23" t="str"/>
      <x:c r="Q24" s="26" t="n">
        <x:f>IF('03_Спец_РД'!N24="","",'03_Спец_РД'!N24)</x:f>
        <x:v>1930</x:v>
      </x:c>
      <x:c r="R24" s="26" t="n">
        <x:f>IF(F24="м",J24,IF(Q24="","",J24*Q24/1000))</x:f>
        <x:v>11.58</x:v>
      </x:c>
    </x:row>
    <x:row r="25" ht="54" customHeight="1">
      <x:c r="A25" s="23" t="str">
        <x:v>L1_С-1-1/Бетон</x:v>
      </x:c>
      <x:c r="B25" s="23" t="str">
        <x:v>P0</x:v>
      </x:c>
      <x:c r="C25" s="23" t="str">
        <x:v>С-1-1</x:v>
      </x:c>
      <x:c r="D25" s="23" t="str">
        <x:v>Бетон</x:v>
      </x:c>
      <x:c r="E25" s="23" t="str">
        <x:v>Тяжёлый бетон В25 F75 W6; ГОСТ 26633-2015</x:v>
      </x:c>
      <x:c r="F25" s="23" t="str">
        <x:v>м³</x:v>
      </x:c>
      <x:c r="G25" s="26" t="n">
        <x:f>'03_Спец_РД'!H25</x:f>
        <x:v>1.3</x:v>
      </x:c>
      <x:c r="H25" s="26" t="n">
        <x:f>'02_Экземпляры'!F7</x:f>
        <x:v>1</x:v>
      </x:c>
      <x:c r="I25" s="26" t="n">
        <x:f>1</x:f>
        <x:v>1</x:v>
      </x:c>
      <x:c r="J25" s="26" t="n">
        <x:f>G25*H25*I25</x:f>
        <x:v>1.3</x:v>
      </x:c>
      <x:c r="K25" s="26" t="str">
        <x:f>IF('03_Спец_РД'!I25="","",'03_Спец_РД'!I25)</x:f>
      </x:c>
      <x:c r="L25" s="26" t="str">
        <x:f>IF(K25="","",J25*K25)</x:f>
      </x:c>
      <x:c r="M25" s="23" t="str">
        <x:v>Бетон В25</x:v>
      </x:c>
      <x:c r="N25" s="23" t="str">
        <x:v>АС.2 л.50; PDF 60</x:v>
      </x:c>
      <x:c r="O25" s="23" t="str">
        <x:v>S50_С-1-1_Бетон</x:v>
      </x:c>
      <x:c r="P25" s="23" t="str">
        <x:v>F75 сохранено по таблице, отличается от общих указаний F150.</x:v>
      </x:c>
      <x:c r="Q25" s="26" t="str">
        <x:f>IF('03_Спец_РД'!N25="","",'03_Спец_РД'!N25)</x:f>
      </x:c>
      <x:c r="R25" s="26" t="str">
        <x:f>IF(F25="м",J25,IF(Q25="","",J25*Q25/1000))</x:f>
      </x:c>
    </x:row>
    <x:row r="26" ht="54" customHeight="1">
      <x:c r="A26" s="23" t="str">
        <x:v>L1_С-1-2/1</x:v>
      </x:c>
      <x:c r="B26" s="23" t="str">
        <x:v>P0</x:v>
      </x:c>
      <x:c r="C26" s="23" t="str">
        <x:v>С-1-2</x:v>
      </x:c>
      <x:c r="D26" s="23" t="str">
        <x:v>1</x:v>
      </x:c>
      <x:c r="E26" s="23" t="str">
        <x:v>∅12 А500С; L=6440 мм; ГОСТ 34028-2016</x:v>
      </x:c>
      <x:c r="F26" s="23" t="str">
        <x:v>шт</x:v>
      </x:c>
      <x:c r="G26" s="26" t="n">
        <x:f>'03_Спец_РД'!H33</x:f>
        <x:v>24</x:v>
      </x:c>
      <x:c r="H26" s="26" t="n">
        <x:f>'02_Экземпляры'!F8</x:f>
        <x:v>1</x:v>
      </x:c>
      <x:c r="I26" s="26" t="n">
        <x:f>1</x:f>
        <x:v>1</x:v>
      </x:c>
      <x:c r="J26" s="26" t="n">
        <x:f>G26*H26*I26</x:f>
        <x:v>24</x:v>
      </x:c>
      <x:c r="K26" s="26" t="n">
        <x:f>IF('03_Спец_РД'!I33="","",'03_Спец_РД'!I33)</x:f>
        <x:v>5.72</x:v>
      </x:c>
      <x:c r="L26" s="26" t="n">
        <x:f>IF(K26="","",J26*K26)</x:f>
        <x:v>137.28</x:v>
      </x:c>
      <x:c r="M26" s="23" t="str">
        <x:v>Арматура</x:v>
      </x:c>
      <x:c r="N26" s="23" t="str">
        <x:v>АС.2 л.51; PDF 61</x:v>
      </x:c>
      <x:c r="O26" s="23" t="str">
        <x:v>S51_С-1-2_1</x:v>
      </x:c>
      <x:c r="P26" s="23" t="str"/>
      <x:c r="Q26" s="26" t="n">
        <x:f>IF('03_Спец_РД'!N33="","",'03_Спец_РД'!N33)</x:f>
        <x:v>6440</x:v>
      </x:c>
      <x:c r="R26" s="26" t="n">
        <x:f>IF(F26="м",J26,IF(Q26="","",J26*Q26/1000))</x:f>
        <x:v>154.56</x:v>
      </x:c>
    </x:row>
    <x:row r="27" ht="54" customHeight="1">
      <x:c r="A27" s="23" t="str">
        <x:v>L1_С-1-2/2</x:v>
      </x:c>
      <x:c r="B27" s="23" t="str">
        <x:v>P0</x:v>
      </x:c>
      <x:c r="C27" s="23" t="str">
        <x:v>С-1-2</x:v>
      </x:c>
      <x:c r="D27" s="23" t="str">
        <x:v>2</x:v>
      </x:c>
      <x:c r="E27" s="23" t="str">
        <x:v>∅12 А500С; L=1200 мм; ГОСТ 34028-2016</x:v>
      </x:c>
      <x:c r="F27" s="23" t="str">
        <x:v>шт</x:v>
      </x:c>
      <x:c r="G27" s="26" t="n">
        <x:f>'03_Спец_РД'!H34</x:f>
        <x:v>19</x:v>
      </x:c>
      <x:c r="H27" s="26" t="n">
        <x:f>'02_Экземпляры'!F8</x:f>
        <x:v>1</x:v>
      </x:c>
      <x:c r="I27" s="26" t="n">
        <x:f>1</x:f>
        <x:v>1</x:v>
      </x:c>
      <x:c r="J27" s="26" t="n">
        <x:f>G27*H27*I27</x:f>
        <x:v>19</x:v>
      </x:c>
      <x:c r="K27" s="26" t="n">
        <x:f>IF('03_Спец_РД'!I34="","",'03_Спец_РД'!I34)</x:f>
        <x:v>1.07</x:v>
      </x:c>
      <x:c r="L27" s="26" t="n">
        <x:f>IF(K27="","",J27*K27)</x:f>
        <x:v>20.330000000000002</x:v>
      </x:c>
      <x:c r="M27" s="23" t="str">
        <x:v>Арматура</x:v>
      </x:c>
      <x:c r="N27" s="23" t="str">
        <x:v>АС.2 л.51; PDF 61</x:v>
      </x:c>
      <x:c r="O27" s="23" t="str">
        <x:v>S51_С-1-2_2</x:v>
      </x:c>
      <x:c r="P27" s="23" t="str"/>
      <x:c r="Q27" s="26" t="n">
        <x:f>IF('03_Спец_РД'!N34="","",'03_Спец_РД'!N34)</x:f>
        <x:v>1200</x:v>
      </x:c>
      <x:c r="R27" s="26" t="n">
        <x:f>IF(F27="м",J27,IF(Q27="","",J27*Q27/1000))</x:f>
        <x:v>22.8</x:v>
      </x:c>
    </x:row>
    <x:row r="28" ht="54" customHeight="1">
      <x:c r="A28" s="23" t="str">
        <x:v>L1_С-1-2/П-2</x:v>
      </x:c>
      <x:c r="B28" s="23" t="str">
        <x:v>P0</x:v>
      </x:c>
      <x:c r="C28" s="23" t="str">
        <x:v>С-1-2</x:v>
      </x:c>
      <x:c r="D28" s="23" t="str">
        <x:v>П-2</x:v>
      </x:c>
      <x:c r="E28" s="23" t="str">
        <x:v>∅12 А500С; L=1160 мм; ГОСТ 34028-2016</x:v>
      </x:c>
      <x:c r="F28" s="23" t="str">
        <x:v>шт</x:v>
      </x:c>
      <x:c r="G28" s="26" t="n">
        <x:f>'03_Спец_РД'!H35</x:f>
        <x:v>24</x:v>
      </x:c>
      <x:c r="H28" s="26" t="n">
        <x:f>'02_Экземпляры'!F8</x:f>
        <x:v>1</x:v>
      </x:c>
      <x:c r="I28" s="26" t="n">
        <x:f>1</x:f>
        <x:v>1</x:v>
      </x:c>
      <x:c r="J28" s="26" t="n">
        <x:f>G28*H28*I28</x:f>
        <x:v>24</x:v>
      </x:c>
      <x:c r="K28" s="26" t="n">
        <x:f>IF('03_Спец_РД'!I35="","",'03_Спец_РД'!I35)</x:f>
        <x:v>1.03</x:v>
      </x:c>
      <x:c r="L28" s="26" t="n">
        <x:f>IF(K28="","",J28*K28)</x:f>
        <x:v>24.72</x:v>
      </x:c>
      <x:c r="M28" s="23" t="str">
        <x:v>Арматура</x:v>
      </x:c>
      <x:c r="N28" s="23" t="str">
        <x:v>АС.2 л.51; PDF 61</x:v>
      </x:c>
      <x:c r="O28" s="23" t="str">
        <x:v>S51_С-1-2_П-2</x:v>
      </x:c>
      <x:c r="P28" s="23" t="str"/>
      <x:c r="Q28" s="26" t="n">
        <x:f>IF('03_Спец_РД'!N35="","",'03_Спец_РД'!N35)</x:f>
        <x:v>1160</x:v>
      </x:c>
      <x:c r="R28" s="26" t="n">
        <x:f>IF(F28="м",J28,IF(Q28="","",J28*Q28/1000))</x:f>
        <x:v>27.84</x:v>
      </x:c>
    </x:row>
    <x:row r="29" ht="54" customHeight="1">
      <x:c r="A29" s="23" t="str">
        <x:v>L1_С-1-2/П-3</x:v>
      </x:c>
      <x:c r="B29" s="23" t="str">
        <x:v>P0</x:v>
      </x:c>
      <x:c r="C29" s="23" t="str">
        <x:v>С-1-2</x:v>
      </x:c>
      <x:c r="D29" s="23" t="str">
        <x:v>П-3</x:v>
      </x:c>
      <x:c r="E29" s="23" t="str">
        <x:v>∅12 А500С; L=1140 мм; ГОСТ 34028-2016</x:v>
      </x:c>
      <x:c r="F29" s="23" t="str">
        <x:v>шт</x:v>
      </x:c>
      <x:c r="G29" s="26" t="n">
        <x:f>'03_Спец_РД'!H36</x:f>
        <x:v>41</x:v>
      </x:c>
      <x:c r="H29" s="26" t="n">
        <x:f>'02_Экземпляры'!F8</x:f>
        <x:v>1</x:v>
      </x:c>
      <x:c r="I29" s="26" t="n">
        <x:f>1</x:f>
        <x:v>1</x:v>
      </x:c>
      <x:c r="J29" s="26" t="n">
        <x:f>G29*H29*I29</x:f>
        <x:v>41</x:v>
      </x:c>
      <x:c r="K29" s="26" t="n">
        <x:f>IF('03_Спец_РД'!I36="","",'03_Спец_РД'!I36)</x:f>
        <x:v>1.01</x:v>
      </x:c>
      <x:c r="L29" s="26" t="n">
        <x:f>IF(K29="","",J29*K29)</x:f>
        <x:v>41.410000000000004</x:v>
      </x:c>
      <x:c r="M29" s="23" t="str">
        <x:v>Арматура</x:v>
      </x:c>
      <x:c r="N29" s="23" t="str">
        <x:v>АС.2 л.51; PDF 61</x:v>
      </x:c>
      <x:c r="O29" s="23" t="str">
        <x:v>S51_С-1-2_П-3</x:v>
      </x:c>
      <x:c r="P29" s="23" t="str"/>
      <x:c r="Q29" s="26" t="n">
        <x:f>IF('03_Спец_РД'!N36="","",'03_Спец_РД'!N36)</x:f>
        <x:v>1140</x:v>
      </x:c>
      <x:c r="R29" s="26" t="n">
        <x:f>IF(F29="м",J29,IF(Q29="","",J29*Q29/1000))</x:f>
        <x:v>46.74</x:v>
      </x:c>
    </x:row>
    <x:row r="30" ht="54" customHeight="1">
      <x:c r="A30" s="23" t="str">
        <x:v>L1_С-1-2/Ш-1</x:v>
      </x:c>
      <x:c r="B30" s="23" t="str">
        <x:v>P0</x:v>
      </x:c>
      <x:c r="C30" s="23" t="str">
        <x:v>С-1-2</x:v>
      </x:c>
      <x:c r="D30" s="23" t="str">
        <x:v>Ш-1</x:v>
      </x:c>
      <x:c r="E30" s="23" t="str">
        <x:v>∅10 А240; L=290 мм; ГОСТ 34028-2016</x:v>
      </x:c>
      <x:c r="F30" s="23" t="str">
        <x:v>шт</x:v>
      </x:c>
      <x:c r="G30" s="26" t="n">
        <x:f>'03_Спец_РД'!H37</x:f>
        <x:v>95</x:v>
      </x:c>
      <x:c r="H30" s="26" t="n">
        <x:f>'02_Экземпляры'!F8</x:f>
        <x:v>1</x:v>
      </x:c>
      <x:c r="I30" s="26" t="n">
        <x:f>1</x:f>
        <x:v>1</x:v>
      </x:c>
      <x:c r="J30" s="26" t="n">
        <x:f>G30*H30*I30</x:f>
        <x:v>95</x:v>
      </x:c>
      <x:c r="K30" s="26" t="n">
        <x:f>IF('03_Спец_РД'!I37="","",'03_Спец_РД'!I37)</x:f>
        <x:v>0.18</x:v>
      </x:c>
      <x:c r="L30" s="26" t="n">
        <x:f>IF(K30="","",J30*K30)</x:f>
        <x:v>17.099999999999998</x:v>
      </x:c>
      <x:c r="M30" s="23" t="str">
        <x:v>Арматура</x:v>
      </x:c>
      <x:c r="N30" s="23" t="str">
        <x:v>АС.2 л.51; PDF 61</x:v>
      </x:c>
      <x:c r="O30" s="23" t="str">
        <x:v>S51_С-1-2_Ш-1</x:v>
      </x:c>
      <x:c r="P30" s="23" t="str"/>
      <x:c r="Q30" s="26" t="n">
        <x:f>IF('03_Спец_РД'!N37="","",'03_Спец_РД'!N37)</x:f>
        <x:v>290</x:v>
      </x:c>
      <x:c r="R30" s="26" t="n">
        <x:f>IF(F30="м",J30,IF(Q30="","",J30*Q30/1000))</x:f>
        <x:v>27.55</x:v>
      </x:c>
    </x:row>
    <x:row r="31" ht="54" customHeight="1">
      <x:c r="A31" s="23" t="str">
        <x:v>L1_С-1-2/Бетон</x:v>
      </x:c>
      <x:c r="B31" s="23" t="str">
        <x:v>P0</x:v>
      </x:c>
      <x:c r="C31" s="23" t="str">
        <x:v>С-1-2</x:v>
      </x:c>
      <x:c r="D31" s="23" t="str">
        <x:v>Бетон</x:v>
      </x:c>
      <x:c r="E31" s="23" t="str">
        <x:v>Тяжёлый бетон В25 F75 W6; ГОСТ 26633-2015</x:v>
      </x:c>
      <x:c r="F31" s="23" t="str">
        <x:v>м³</x:v>
      </x:c>
      <x:c r="G31" s="26" t="n">
        <x:f>'03_Спец_РД'!H38</x:f>
        <x:v>3.8</x:v>
      </x:c>
      <x:c r="H31" s="26" t="n">
        <x:f>'02_Экземпляры'!F8</x:f>
        <x:v>1</x:v>
      </x:c>
      <x:c r="I31" s="26" t="n">
        <x:f>1</x:f>
        <x:v>1</x:v>
      </x:c>
      <x:c r="J31" s="26" t="n">
        <x:f>G31*H31*I31</x:f>
        <x:v>3.8</x:v>
      </x:c>
      <x:c r="K31" s="26" t="str">
        <x:f>IF('03_Спец_РД'!I38="","",'03_Спец_РД'!I38)</x:f>
      </x:c>
      <x:c r="L31" s="26" t="str">
        <x:f>IF(K31="","",J31*K31)</x:f>
      </x:c>
      <x:c r="M31" s="23" t="str">
        <x:v>Бетон В25</x:v>
      </x:c>
      <x:c r="N31" s="23" t="str">
        <x:v>АС.2 л.51; PDF 61</x:v>
      </x:c>
      <x:c r="O31" s="23" t="str">
        <x:v>S51_С-1-2_Бетон</x:v>
      </x:c>
      <x:c r="P31" s="23" t="str">
        <x:v>F75 — по таблице.</x:v>
      </x:c>
      <x:c r="Q31" s="26" t="str">
        <x:f>IF('03_Спец_РД'!N38="","",'03_Спец_РД'!N38)</x:f>
      </x:c>
      <x:c r="R31" s="26" t="str">
        <x:f>IF(F31="м",J31,IF(Q31="","",J31*Q31/1000))</x:f>
      </x:c>
    </x:row>
    <x:row r="32" ht="54" customHeight="1">
      <x:c r="A32" s="23" t="str">
        <x:v>L1_С-1-3/1</x:v>
      </x:c>
      <x:c r="B32" s="23" t="str">
        <x:v>P0</x:v>
      </x:c>
      <x:c r="C32" s="23" t="str">
        <x:v>С-1-3</x:v>
      </x:c>
      <x:c r="D32" s="23" t="str">
        <x:v>1</x:v>
      </x:c>
      <x:c r="E32" s="23" t="str">
        <x:v>∅12 А500С; L=3050 мм; ГОСТ 34028-2016</x:v>
      </x:c>
      <x:c r="F32" s="23" t="str">
        <x:v>шт</x:v>
      </x:c>
      <x:c r="G32" s="26" t="n">
        <x:f>'03_Спец_РД'!H26</x:f>
        <x:v>12</x:v>
      </x:c>
      <x:c r="H32" s="26" t="n">
        <x:f>'02_Экземпляры'!F9</x:f>
        <x:v>1</x:v>
      </x:c>
      <x:c r="I32" s="26" t="n">
        <x:f>1</x:f>
        <x:v>1</x:v>
      </x:c>
      <x:c r="J32" s="26" t="n">
        <x:f>G32*H32*I32</x:f>
        <x:v>12</x:v>
      </x:c>
      <x:c r="K32" s="26" t="n">
        <x:f>IF('03_Спец_РД'!I26="","",'03_Спец_РД'!I26)</x:f>
        <x:v>2.71</x:v>
      </x:c>
      <x:c r="L32" s="26" t="n">
        <x:f>IF(K32="","",J32*K32)</x:f>
        <x:v>32.519999999999996</x:v>
      </x:c>
      <x:c r="M32" s="23" t="str">
        <x:v>Арматура</x:v>
      </x:c>
      <x:c r="N32" s="23" t="str">
        <x:v>АС.2 л.52; PDF 62</x:v>
      </x:c>
      <x:c r="O32" s="23" t="str">
        <x:v>S52_С-1-3_1</x:v>
      </x:c>
      <x:c r="P32" s="23" t="str"/>
      <x:c r="Q32" s="26" t="n">
        <x:f>IF('03_Спец_РД'!N26="","",'03_Спец_РД'!N26)</x:f>
        <x:v>3050</x:v>
      </x:c>
      <x:c r="R32" s="26" t="n">
        <x:f>IF(F32="м",J32,IF(Q32="","",J32*Q32/1000))</x:f>
        <x:v>36.6</x:v>
      </x:c>
    </x:row>
    <x:row r="33" ht="54" customHeight="1">
      <x:c r="A33" s="23" t="str">
        <x:v>L1_С-1-3/2</x:v>
      </x:c>
      <x:c r="B33" s="23" t="str">
        <x:v>P0</x:v>
      </x:c>
      <x:c r="C33" s="23" t="str">
        <x:v>С-1-3</x:v>
      </x:c>
      <x:c r="D33" s="23" t="str">
        <x:v>2</x:v>
      </x:c>
      <x:c r="E33" s="23" t="str">
        <x:v>∅12 А500С; L=1750 мм; ГОСТ 34028-2016</x:v>
      </x:c>
      <x:c r="F33" s="23" t="str">
        <x:v>шт</x:v>
      </x:c>
      <x:c r="G33" s="26" t="n">
        <x:f>'03_Спец_РД'!H27</x:f>
        <x:v>14</x:v>
      </x:c>
      <x:c r="H33" s="26" t="n">
        <x:f>'02_Экземпляры'!F9</x:f>
        <x:v>1</x:v>
      </x:c>
      <x:c r="I33" s="26" t="n">
        <x:f>1</x:f>
        <x:v>1</x:v>
      </x:c>
      <x:c r="J33" s="26" t="n">
        <x:f>G33*H33*I33</x:f>
        <x:v>14</x:v>
      </x:c>
      <x:c r="K33" s="26" t="n">
        <x:f>IF('03_Спец_РД'!I27="","",'03_Спец_РД'!I27)</x:f>
        <x:v>1.55</x:v>
      </x:c>
      <x:c r="L33" s="26" t="n">
        <x:f>IF(K33="","",J33*K33)</x:f>
        <x:v>21.7</x:v>
      </x:c>
      <x:c r="M33" s="23" t="str">
        <x:v>Арматура</x:v>
      </x:c>
      <x:c r="N33" s="23" t="str">
        <x:v>АС.2 л.52; PDF 62</x:v>
      </x:c>
      <x:c r="O33" s="23" t="str">
        <x:v>S52_С-1-3_2</x:v>
      </x:c>
      <x:c r="P33" s="23" t="str"/>
      <x:c r="Q33" s="26" t="n">
        <x:f>IF('03_Спец_РД'!N27="","",'03_Спец_РД'!N27)</x:f>
        <x:v>1750</x:v>
      </x:c>
      <x:c r="R33" s="26" t="n">
        <x:f>IF(F33="м",J33,IF(Q33="","",J33*Q33/1000))</x:f>
        <x:v>24.5</x:v>
      </x:c>
    </x:row>
    <x:row r="34" ht="54" customHeight="1">
      <x:c r="A34" s="23" t="str">
        <x:v>L1_С-1-3/П-2</x:v>
      </x:c>
      <x:c r="B34" s="23" t="str">
        <x:v>P0</x:v>
      </x:c>
      <x:c r="C34" s="23" t="str">
        <x:v>С-1-3</x:v>
      </x:c>
      <x:c r="D34" s="23" t="str">
        <x:v>П-2</x:v>
      </x:c>
      <x:c r="E34" s="23" t="str">
        <x:v>∅12 А500С; L=1160 мм; ГОСТ 34028-2016</x:v>
      </x:c>
      <x:c r="F34" s="23" t="str">
        <x:v>шт</x:v>
      </x:c>
      <x:c r="G34" s="26" t="n">
        <x:f>'03_Спец_РД'!H28</x:f>
        <x:v>25</x:v>
      </x:c>
      <x:c r="H34" s="26" t="n">
        <x:f>'02_Экземпляры'!F9</x:f>
        <x:v>1</x:v>
      </x:c>
      <x:c r="I34" s="26" t="n">
        <x:f>1</x:f>
        <x:v>1</x:v>
      </x:c>
      <x:c r="J34" s="26" t="n">
        <x:f>G34*H34*I34</x:f>
        <x:v>25</x:v>
      </x:c>
      <x:c r="K34" s="26" t="n">
        <x:f>IF('03_Спец_РД'!I28="","",'03_Спец_РД'!I28)</x:f>
        <x:v>1.03</x:v>
      </x:c>
      <x:c r="L34" s="26" t="n">
        <x:f>IF(K34="","",J34*K34)</x:f>
        <x:v>25.75</x:v>
      </x:c>
      <x:c r="M34" s="23" t="str">
        <x:v>Арматура</x:v>
      </x:c>
      <x:c r="N34" s="23" t="str">
        <x:v>АС.2 л.52; PDF 62</x:v>
      </x:c>
      <x:c r="O34" s="23" t="str">
        <x:v>S52_С-1-3_П-2</x:v>
      </x:c>
      <x:c r="P34" s="23" t="str"/>
      <x:c r="Q34" s="26" t="n">
        <x:f>IF('03_Спец_РД'!N28="","",'03_Спец_РД'!N28)</x:f>
        <x:v>1160</x:v>
      </x:c>
      <x:c r="R34" s="26" t="n">
        <x:f>IF(F34="м",J34,IF(Q34="","",J34*Q34/1000))</x:f>
        <x:v>29</x:v>
      </x:c>
    </x:row>
    <x:row r="35" ht="54" customHeight="1">
      <x:c r="A35" s="23" t="str">
        <x:v>L1_С-1-3/П-3</x:v>
      </x:c>
      <x:c r="B35" s="23" t="str">
        <x:v>P0</x:v>
      </x:c>
      <x:c r="C35" s="23" t="str">
        <x:v>С-1-3</x:v>
      </x:c>
      <x:c r="D35" s="23" t="str">
        <x:v>П-3</x:v>
      </x:c>
      <x:c r="E35" s="23" t="str">
        <x:v>∅12 А500С; L=1140 мм; ГОСТ 34028-2016</x:v>
      </x:c>
      <x:c r="F35" s="23" t="str">
        <x:v>шт</x:v>
      </x:c>
      <x:c r="G35" s="26" t="n">
        <x:f>'03_Спец_РД'!H29</x:f>
        <x:v>11</x:v>
      </x:c>
      <x:c r="H35" s="26" t="n">
        <x:f>'02_Экземпляры'!F9</x:f>
        <x:v>1</x:v>
      </x:c>
      <x:c r="I35" s="26" t="n">
        <x:f>1</x:f>
        <x:v>1</x:v>
      </x:c>
      <x:c r="J35" s="26" t="n">
        <x:f>G35*H35*I35</x:f>
        <x:v>11</x:v>
      </x:c>
      <x:c r="K35" s="26" t="n">
        <x:f>IF('03_Спец_РД'!I29="","",'03_Спец_РД'!I29)</x:f>
        <x:v>1.01</x:v>
      </x:c>
      <x:c r="L35" s="26" t="n">
        <x:f>IF(K35="","",J35*K35)</x:f>
        <x:v>11.11</x:v>
      </x:c>
      <x:c r="M35" s="23" t="str">
        <x:v>Арматура</x:v>
      </x:c>
      <x:c r="N35" s="23" t="str">
        <x:v>АС.2 л.52; PDF 62</x:v>
      </x:c>
      <x:c r="O35" s="23" t="str">
        <x:v>S52_С-1-3_П-3</x:v>
      </x:c>
      <x:c r="P35" s="23" t="str"/>
      <x:c r="Q35" s="26" t="n">
        <x:f>IF('03_Спец_РД'!N29="","",'03_Спец_РД'!N29)</x:f>
        <x:v>1140</x:v>
      </x:c>
      <x:c r="R35" s="26" t="n">
        <x:f>IF(F35="м",J35,IF(Q35="","",J35*Q35/1000))</x:f>
        <x:v>12.54</x:v>
      </x:c>
    </x:row>
    <x:row r="36" ht="54" customHeight="1">
      <x:c r="A36" s="23" t="str">
        <x:v>L1_С-1-3/Ш-1</x:v>
      </x:c>
      <x:c r="B36" s="23" t="str">
        <x:v>P0</x:v>
      </x:c>
      <x:c r="C36" s="23" t="str">
        <x:v>С-1-3</x:v>
      </x:c>
      <x:c r="D36" s="23" t="str">
        <x:v>Ш-1</x:v>
      </x:c>
      <x:c r="E36" s="23" t="str">
        <x:v>∅10 А240; L=290 мм; ГОСТ 34028-2016</x:v>
      </x:c>
      <x:c r="F36" s="23" t="str">
        <x:v>шт</x:v>
      </x:c>
      <x:c r="G36" s="26" t="n">
        <x:f>'03_Спец_РД'!H30</x:f>
        <x:v>34</x:v>
      </x:c>
      <x:c r="H36" s="26" t="n">
        <x:f>'02_Экземпляры'!F9</x:f>
        <x:v>1</x:v>
      </x:c>
      <x:c r="I36" s="26" t="n">
        <x:f>1</x:f>
        <x:v>1</x:v>
      </x:c>
      <x:c r="J36" s="26" t="n">
        <x:f>G36*H36*I36</x:f>
        <x:v>34</x:v>
      </x:c>
      <x:c r="K36" s="26" t="n">
        <x:f>IF('03_Спец_РД'!I30="","",'03_Спец_РД'!I30)</x:f>
        <x:v>0.18</x:v>
      </x:c>
      <x:c r="L36" s="26" t="n">
        <x:f>IF(K36="","",J36*K36)</x:f>
        <x:v>6.12</x:v>
      </x:c>
      <x:c r="M36" s="23" t="str">
        <x:v>Арматура</x:v>
      </x:c>
      <x:c r="N36" s="23" t="str">
        <x:v>АС.2 л.52; PDF 62</x:v>
      </x:c>
      <x:c r="O36" s="23" t="str">
        <x:v>S52_С-1-3_Ш-1</x:v>
      </x:c>
      <x:c r="P36" s="23" t="str"/>
      <x:c r="Q36" s="26" t="n">
        <x:f>IF('03_Спец_РД'!N30="","",'03_Спец_РД'!N30)</x:f>
        <x:v>290</x:v>
      </x:c>
      <x:c r="R36" s="26" t="n">
        <x:f>IF(F36="м",J36,IF(Q36="","",J36*Q36/1000))</x:f>
        <x:v>9.86</x:v>
      </x:c>
    </x:row>
    <x:row r="37" ht="54" customHeight="1">
      <x:c r="A37" s="23" t="str">
        <x:v>L1_С-1-3/Х-1</x:v>
      </x:c>
      <x:c r="B37" s="23" t="str">
        <x:v>P0</x:v>
      </x:c>
      <x:c r="C37" s="23" t="str">
        <x:v>С-1-3</x:v>
      </x:c>
      <x:c r="D37" s="23" t="str">
        <x:v>Х-1</x:v>
      </x:c>
      <x:c r="E37" s="23" t="str">
        <x:v>∅12 А500С; L=1930 мм; ГОСТ 34028-2016</x:v>
      </x:c>
      <x:c r="F37" s="23" t="str">
        <x:v>шт</x:v>
      </x:c>
      <x:c r="G37" s="26" t="n">
        <x:f>'03_Спец_РД'!H31</x:f>
        <x:v>6</x:v>
      </x:c>
      <x:c r="H37" s="26" t="n">
        <x:f>'02_Экземпляры'!F9</x:f>
        <x:v>1</x:v>
      </x:c>
      <x:c r="I37" s="26" t="n">
        <x:f>1</x:f>
        <x:v>1</x:v>
      </x:c>
      <x:c r="J37" s="26" t="n">
        <x:f>G37*H37*I37</x:f>
        <x:v>6</x:v>
      </x:c>
      <x:c r="K37" s="26" t="n">
        <x:f>IF('03_Спец_РД'!I31="","",'03_Спец_РД'!I31)</x:f>
        <x:v>1.71</x:v>
      </x:c>
      <x:c r="L37" s="26" t="n">
        <x:f>IF(K37="","",J37*K37)</x:f>
        <x:v>10.26</x:v>
      </x:c>
      <x:c r="M37" s="23" t="str">
        <x:v>Арматура</x:v>
      </x:c>
      <x:c r="N37" s="23" t="str">
        <x:v>АС.2 л.52; PDF 62</x:v>
      </x:c>
      <x:c r="O37" s="23" t="str">
        <x:v>S52_С-1-3_Х-1</x:v>
      </x:c>
      <x:c r="P37" s="23" t="str"/>
      <x:c r="Q37" s="26" t="n">
        <x:f>IF('03_Спец_РД'!N31="","",'03_Спец_РД'!N31)</x:f>
        <x:v>1930</x:v>
      </x:c>
      <x:c r="R37" s="26" t="n">
        <x:f>IF(F37="м",J37,IF(Q37="","",J37*Q37/1000))</x:f>
        <x:v>11.58</x:v>
      </x:c>
    </x:row>
    <x:row r="38" ht="54" customHeight="1">
      <x:c r="A38" s="23" t="str">
        <x:v>L1_С-1-3/Бетон</x:v>
      </x:c>
      <x:c r="B38" s="23" t="str">
        <x:v>P0</x:v>
      </x:c>
      <x:c r="C38" s="23" t="str">
        <x:v>С-1-3</x:v>
      </x:c>
      <x:c r="D38" s="23" t="str">
        <x:v>Бетон</x:v>
      </x:c>
      <x:c r="E38" s="23" t="str">
        <x:v>Тяжёлый бетон В25 F75 W6; ГОСТ 26633-2015</x:v>
      </x:c>
      <x:c r="F38" s="23" t="str">
        <x:v>м³</x:v>
      </x:c>
      <x:c r="G38" s="26" t="n">
        <x:f>'03_Спец_РД'!H32</x:f>
        <x:v>1.3</x:v>
      </x:c>
      <x:c r="H38" s="26" t="n">
        <x:f>'02_Экземпляры'!F9</x:f>
        <x:v>1</x:v>
      </x:c>
      <x:c r="I38" s="26" t="n">
        <x:f>1</x:f>
        <x:v>1</x:v>
      </x:c>
      <x:c r="J38" s="26" t="n">
        <x:f>G38*H38*I38</x:f>
        <x:v>1.3</x:v>
      </x:c>
      <x:c r="K38" s="26" t="str">
        <x:f>IF('03_Спец_РД'!I32="","",'03_Спец_РД'!I32)</x:f>
      </x:c>
      <x:c r="L38" s="26" t="str">
        <x:f>IF(K38="","",J38*K38)</x:f>
      </x:c>
      <x:c r="M38" s="23" t="str">
        <x:v>Бетон В25</x:v>
      </x:c>
      <x:c r="N38" s="23" t="str">
        <x:v>АС.2 л.52; PDF 62</x:v>
      </x:c>
      <x:c r="O38" s="23" t="str">
        <x:v>S52_С-1-3_Бетон</x:v>
      </x:c>
      <x:c r="P38" s="23" t="str">
        <x:v>F75 сохранено по таблице, отличается от общих указаний F150.</x:v>
      </x:c>
      <x:c r="Q38" s="26" t="str">
        <x:f>IF('03_Спец_РД'!N32="","",'03_Спец_РД'!N32)</x:f>
      </x:c>
      <x:c r="R38" s="26" t="str">
        <x:f>IF(F38="м",J38,IF(Q38="","",J38*Q38/1000))</x:f>
      </x:c>
    </x:row>
    <x:row r="39" ht="54" customHeight="1">
      <x:c r="A39" s="23" t="str">
        <x:v>L1_С-1-4/1</x:v>
      </x:c>
      <x:c r="B39" s="23" t="str">
        <x:v>P0</x:v>
      </x:c>
      <x:c r="C39" s="23" t="str">
        <x:v>С-1-4</x:v>
      </x:c>
      <x:c r="D39" s="23" t="str">
        <x:v>1</x:v>
      </x:c>
      <x:c r="E39" s="23" t="str">
        <x:v>∅22 А500С; L=6440 мм; ГОСТ 34028-2016</x:v>
      </x:c>
      <x:c r="F39" s="23" t="str">
        <x:v>шт</x:v>
      </x:c>
      <x:c r="G39" s="26" t="n">
        <x:f>'03_Спец_РД'!H39</x:f>
        <x:v>10</x:v>
      </x:c>
      <x:c r="H39" s="26" t="n">
        <x:f>'02_Экземпляры'!F10</x:f>
        <x:v>1</x:v>
      </x:c>
      <x:c r="I39" s="26" t="n">
        <x:f>1</x:f>
        <x:v>1</x:v>
      </x:c>
      <x:c r="J39" s="26" t="n">
        <x:f>G39*H39*I39</x:f>
        <x:v>10</x:v>
      </x:c>
      <x:c r="K39" s="26" t="n">
        <x:f>IF('03_Спец_РД'!I39="","",'03_Спец_РД'!I39)</x:f>
        <x:v>19.19</x:v>
      </x:c>
      <x:c r="L39" s="26" t="n">
        <x:f>IF(K39="","",J39*K39)</x:f>
        <x:v>191.9</x:v>
      </x:c>
      <x:c r="M39" s="23" t="str">
        <x:v>Арматура</x:v>
      </x:c>
      <x:c r="N39" s="23" t="str">
        <x:v>АС.2 л.53; PDF 63</x:v>
      </x:c>
      <x:c r="O39" s="23" t="str">
        <x:v>S53_С-1-4_1</x:v>
      </x:c>
      <x:c r="P39" s="23" t="str"/>
      <x:c r="Q39" s="26" t="n">
        <x:f>IF('03_Спец_РД'!N39="","",'03_Спец_РД'!N39)</x:f>
        <x:v>6440</x:v>
      </x:c>
      <x:c r="R39" s="26" t="n">
        <x:f>IF(F39="м",J39,IF(Q39="","",J39*Q39/1000))</x:f>
        <x:v>64.4</x:v>
      </x:c>
    </x:row>
    <x:row r="40" ht="54" customHeight="1">
      <x:c r="A40" s="23" t="str">
        <x:v>L1_С-1-4/2</x:v>
      </x:c>
      <x:c r="B40" s="23" t="str">
        <x:v>P0</x:v>
      </x:c>
      <x:c r="C40" s="23" t="str">
        <x:v>С-1-4</x:v>
      </x:c>
      <x:c r="D40" s="23" t="str">
        <x:v>2</x:v>
      </x:c>
      <x:c r="E40" s="23" t="str">
        <x:v>∅16 А500С; L=6440 мм; ГОСТ 34028-2016</x:v>
      </x:c>
      <x:c r="F40" s="23" t="str">
        <x:v>шт</x:v>
      </x:c>
      <x:c r="G40" s="26" t="n">
        <x:f>'03_Спец_РД'!H40</x:f>
        <x:v>7</x:v>
      </x:c>
      <x:c r="H40" s="26" t="n">
        <x:f>'02_Экземпляры'!F10</x:f>
        <x:v>1</x:v>
      </x:c>
      <x:c r="I40" s="26" t="n">
        <x:f>1</x:f>
        <x:v>1</x:v>
      </x:c>
      <x:c r="J40" s="26" t="n">
        <x:f>G40*H40*I40</x:f>
        <x:v>7</x:v>
      </x:c>
      <x:c r="K40" s="26" t="n">
        <x:f>IF('03_Спец_РД'!I40="","",'03_Спец_РД'!I40)</x:f>
        <x:v>10.18</x:v>
      </x:c>
      <x:c r="L40" s="26" t="n">
        <x:f>IF(K40="","",J40*K40)</x:f>
        <x:v>71.25999999999999</x:v>
      </x:c>
      <x:c r="M40" s="23" t="str">
        <x:v>Арматура</x:v>
      </x:c>
      <x:c r="N40" s="23" t="str">
        <x:v>АС.2 л.53; PDF 63</x:v>
      </x:c>
      <x:c r="O40" s="23" t="str">
        <x:v>S53_С-1-4_2</x:v>
      </x:c>
      <x:c r="P40" s="23" t="str"/>
      <x:c r="Q40" s="26" t="n">
        <x:f>IF('03_Спец_РД'!N40="","",'03_Спец_РД'!N40)</x:f>
        <x:v>6440</x:v>
      </x:c>
      <x:c r="R40" s="26" t="n">
        <x:f>IF(F40="м",J40,IF(Q40="","",J40*Q40/1000))</x:f>
        <x:v>45.08</x:v>
      </x:c>
    </x:row>
    <x:row r="41" ht="54" customHeight="1">
      <x:c r="A41" s="23" t="str">
        <x:v>L1_С-1-4/3</x:v>
      </x:c>
      <x:c r="B41" s="23" t="str">
        <x:v>P0</x:v>
      </x:c>
      <x:c r="C41" s="23" t="str">
        <x:v>С-1-4</x:v>
      </x:c>
      <x:c r="D41" s="23" t="str">
        <x:v>3</x:v>
      </x:c>
      <x:c r="E41" s="23" t="str">
        <x:v>∅12 А500С; L=2860 мм; ГОСТ 34028-2016</x:v>
      </x:c>
      <x:c r="F41" s="23" t="str">
        <x:v>шт</x:v>
      </x:c>
      <x:c r="G41" s="26" t="n">
        <x:f>'03_Спец_РД'!H41</x:f>
        <x:v>14</x:v>
      </x:c>
      <x:c r="H41" s="26" t="n">
        <x:f>'02_Экземпляры'!F10</x:f>
        <x:v>1</x:v>
      </x:c>
      <x:c r="I41" s="26" t="n">
        <x:f>1</x:f>
        <x:v>1</x:v>
      </x:c>
      <x:c r="J41" s="26" t="n">
        <x:f>G41*H41*I41</x:f>
        <x:v>14</x:v>
      </x:c>
      <x:c r="K41" s="26" t="n">
        <x:f>IF('03_Спец_РД'!I41="","",'03_Спец_РД'!I41)</x:f>
        <x:v>2.54</x:v>
      </x:c>
      <x:c r="L41" s="26" t="n">
        <x:f>IF(K41="","",J41*K41)</x:f>
        <x:v>35.56</x:v>
      </x:c>
      <x:c r="M41" s="23" t="str">
        <x:v>Арматура</x:v>
      </x:c>
      <x:c r="N41" s="23" t="str">
        <x:v>АС.2 л.53; PDF 63</x:v>
      </x:c>
      <x:c r="O41" s="23" t="str">
        <x:v>S53_С-1-4_3</x:v>
      </x:c>
      <x:c r="P41" s="23" t="str"/>
      <x:c r="Q41" s="26" t="n">
        <x:f>IF('03_Спец_РД'!N41="","",'03_Спец_РД'!N41)</x:f>
        <x:v>2860</x:v>
      </x:c>
      <x:c r="R41" s="26" t="n">
        <x:f>IF(F41="м",J41,IF(Q41="","",J41*Q41/1000))</x:f>
        <x:v>40.04</x:v>
      </x:c>
    </x:row>
    <x:row r="42" ht="54" customHeight="1">
      <x:c r="A42" s="23" t="str">
        <x:v>L1_С-1-4/4</x:v>
      </x:c>
      <x:c r="B42" s="23" t="str">
        <x:v>P0</x:v>
      </x:c>
      <x:c r="C42" s="23" t="str">
        <x:v>С-1-4</x:v>
      </x:c>
      <x:c r="D42" s="23" t="str">
        <x:v>4</x:v>
      </x:c>
      <x:c r="E42" s="23" t="str">
        <x:v>∅12 А500С; L=1200 мм; ГОСТ 34028-2016</x:v>
      </x:c>
      <x:c r="F42" s="23" t="str">
        <x:v>шт</x:v>
      </x:c>
      <x:c r="G42" s="26" t="n">
        <x:f>'03_Спец_РД'!H42</x:f>
        <x:v>19</x:v>
      </x:c>
      <x:c r="H42" s="26" t="n">
        <x:f>'02_Экземпляры'!F10</x:f>
        <x:v>1</x:v>
      </x:c>
      <x:c r="I42" s="26" t="n">
        <x:f>1</x:f>
        <x:v>1</x:v>
      </x:c>
      <x:c r="J42" s="26" t="n">
        <x:f>G42*H42*I42</x:f>
        <x:v>19</x:v>
      </x:c>
      <x:c r="K42" s="26" t="n">
        <x:f>IF('03_Спец_РД'!I42="","",'03_Спец_РД'!I42)</x:f>
        <x:v>1.07</x:v>
      </x:c>
      <x:c r="L42" s="26" t="n">
        <x:f>IF(K42="","",J42*K42)</x:f>
        <x:v>20.330000000000002</x:v>
      </x:c>
      <x:c r="M42" s="23" t="str">
        <x:v>Арматура</x:v>
      </x:c>
      <x:c r="N42" s="23" t="str">
        <x:v>АС.2 л.53; PDF 63</x:v>
      </x:c>
      <x:c r="O42" s="23" t="str">
        <x:v>S53_С-1-4_4</x:v>
      </x:c>
      <x:c r="P42" s="23" t="str"/>
      <x:c r="Q42" s="26" t="n">
        <x:f>IF('03_Спец_РД'!N42="","",'03_Спец_РД'!N42)</x:f>
        <x:v>1200</x:v>
      </x:c>
      <x:c r="R42" s="26" t="n">
        <x:f>IF(F42="м",J42,IF(Q42="","",J42*Q42/1000))</x:f>
        <x:v>22.8</x:v>
      </x:c>
    </x:row>
    <x:row r="43" ht="54" customHeight="1">
      <x:c r="A43" s="23" t="str">
        <x:v>L1_С-1-4/Г-1</x:v>
      </x:c>
      <x:c r="B43" s="23" t="str">
        <x:v>P0</x:v>
      </x:c>
      <x:c r="C43" s="23" t="str">
        <x:v>С-1-4</x:v>
      </x:c>
      <x:c r="D43" s="23" t="str">
        <x:v>Г-1</x:v>
      </x:c>
      <x:c r="E43" s="23" t="str">
        <x:v>∅12 А500С; L=1400 мм; ГОСТ 34028-2016</x:v>
      </x:c>
      <x:c r="F43" s="23" t="str">
        <x:v>шт</x:v>
      </x:c>
      <x:c r="G43" s="26" t="n">
        <x:f>'03_Спец_РД'!H43</x:f>
        <x:v>12</x:v>
      </x:c>
      <x:c r="H43" s="26" t="n">
        <x:f>'02_Экземпляры'!F10</x:f>
        <x:v>1</x:v>
      </x:c>
      <x:c r="I43" s="26" t="n">
        <x:f>1</x:f>
        <x:v>1</x:v>
      </x:c>
      <x:c r="J43" s="26" t="n">
        <x:f>G43*H43*I43</x:f>
        <x:v>12</x:v>
      </x:c>
      <x:c r="K43" s="26" t="n">
        <x:f>IF('03_Спец_РД'!I43="","",'03_Спец_РД'!I43)</x:f>
        <x:v>1.24</x:v>
      </x:c>
      <x:c r="L43" s="26" t="n">
        <x:f>IF(K43="","",J43*K43)</x:f>
        <x:v>14.879999999999999</x:v>
      </x:c>
      <x:c r="M43" s="23" t="str">
        <x:v>Арматура</x:v>
      </x:c>
      <x:c r="N43" s="23" t="str">
        <x:v>АС.2 л.53; PDF 63</x:v>
      </x:c>
      <x:c r="O43" s="23" t="str">
        <x:v>S53_С-1-4_Г-1</x:v>
      </x:c>
      <x:c r="P43" s="23" t="str"/>
      <x:c r="Q43" s="26" t="n">
        <x:f>IF('03_Спец_РД'!N43="","",'03_Спец_РД'!N43)</x:f>
        <x:v>1400</x:v>
      </x:c>
      <x:c r="R43" s="26" t="n">
        <x:f>IF(F43="м",J43,IF(Q43="","",J43*Q43/1000))</x:f>
        <x:v>16.8</x:v>
      </x:c>
    </x:row>
    <x:row r="44" ht="54" customHeight="1">
      <x:c r="A44" s="23" t="str">
        <x:v>L1_С-1-4/П-4</x:v>
      </x:c>
      <x:c r="B44" s="23" t="str">
        <x:v>P0</x:v>
      </x:c>
      <x:c r="C44" s="23" t="str">
        <x:v>С-1-4</x:v>
      </x:c>
      <x:c r="D44" s="23" t="str">
        <x:v>П-4</x:v>
      </x:c>
      <x:c r="E44" s="23" t="str">
        <x:v>∅12 А500С; L=1310 мм; ГОСТ 34028-2016</x:v>
      </x:c>
      <x:c r="F44" s="23" t="str">
        <x:v>шт</x:v>
      </x:c>
      <x:c r="G44" s="26" t="n">
        <x:f>'03_Спец_РД'!H44</x:f>
        <x:v>14</x:v>
      </x:c>
      <x:c r="H44" s="26" t="n">
        <x:f>'02_Экземпляры'!F10</x:f>
        <x:v>1</x:v>
      </x:c>
      <x:c r="I44" s="26" t="n">
        <x:f>1</x:f>
        <x:v>1</x:v>
      </x:c>
      <x:c r="J44" s="26" t="n">
        <x:f>G44*H44*I44</x:f>
        <x:v>14</x:v>
      </x:c>
      <x:c r="K44" s="26" t="n">
        <x:f>IF('03_Спец_РД'!I44="","",'03_Спец_РД'!I44)</x:f>
        <x:v>1.16</x:v>
      </x:c>
      <x:c r="L44" s="26" t="n">
        <x:f>IF(K44="","",J44*K44)</x:f>
        <x:v>16.24</x:v>
      </x:c>
      <x:c r="M44" s="23" t="str">
        <x:v>Арматура</x:v>
      </x:c>
      <x:c r="N44" s="23" t="str">
        <x:v>АС.2 л.53; PDF 63</x:v>
      </x:c>
      <x:c r="O44" s="23" t="str">
        <x:v>S53_С-1-4_П-4</x:v>
      </x:c>
      <x:c r="P44" s="23" t="str"/>
      <x:c r="Q44" s="26" t="n">
        <x:f>IF('03_Спец_РД'!N44="","",'03_Спец_РД'!N44)</x:f>
        <x:v>1310</x:v>
      </x:c>
      <x:c r="R44" s="26" t="n">
        <x:f>IF(F44="м",J44,IF(Q44="","",J44*Q44/1000))</x:f>
        <x:v>18.34</x:v>
      </x:c>
    </x:row>
    <x:row r="45" ht="54" customHeight="1">
      <x:c r="A45" s="23" t="str">
        <x:v>L1_С-1-4/Ш-1</x:v>
      </x:c>
      <x:c r="B45" s="23" t="str">
        <x:v>P0</x:v>
      </x:c>
      <x:c r="C45" s="23" t="str">
        <x:v>С-1-4</x:v>
      </x:c>
      <x:c r="D45" s="23" t="str">
        <x:v>Ш-1</x:v>
      </x:c>
      <x:c r="E45" s="23" t="str">
        <x:v>∅10 А240; L=290 мм; ГОСТ 34028-2016</x:v>
      </x:c>
      <x:c r="F45" s="23" t="str">
        <x:v>шт</x:v>
      </x:c>
      <x:c r="G45" s="26" t="n">
        <x:f>'03_Спец_РД'!H45</x:f>
        <x:v>24</x:v>
      </x:c>
      <x:c r="H45" s="26" t="n">
        <x:f>'02_Экземпляры'!F10</x:f>
        <x:v>1</x:v>
      </x:c>
      <x:c r="I45" s="26" t="n">
        <x:f>1</x:f>
        <x:v>1</x:v>
      </x:c>
      <x:c r="J45" s="26" t="n">
        <x:f>G45*H45*I45</x:f>
        <x:v>24</x:v>
      </x:c>
      <x:c r="K45" s="26" t="n">
        <x:f>IF('03_Спец_РД'!I45="","",'03_Спец_РД'!I45)</x:f>
        <x:v>0.18</x:v>
      </x:c>
      <x:c r="L45" s="26" t="n">
        <x:f>IF(K45="","",J45*K45)</x:f>
        <x:v>4.32</x:v>
      </x:c>
      <x:c r="M45" s="23" t="str">
        <x:v>Арматура</x:v>
      </x:c>
      <x:c r="N45" s="23" t="str">
        <x:v>АС.2 л.53; PDF 63</x:v>
      </x:c>
      <x:c r="O45" s="23" t="str">
        <x:v>S53_С-1-4_Ш-1</x:v>
      </x:c>
      <x:c r="P45" s="23" t="str"/>
      <x:c r="Q45" s="26" t="n">
        <x:f>IF('03_Спец_РД'!N45="","",'03_Спец_РД'!N45)</x:f>
        <x:v>290</x:v>
      </x:c>
      <x:c r="R45" s="26" t="n">
        <x:f>IF(F45="м",J45,IF(Q45="","",J45*Q45/1000))</x:f>
        <x:v>6.96</x:v>
      </x:c>
    </x:row>
    <x:row r="46" ht="54" customHeight="1">
      <x:c r="A46" s="23" t="str">
        <x:v>L1_С-1-4/Х-1</x:v>
      </x:c>
      <x:c r="B46" s="23" t="str">
        <x:v>P0</x:v>
      </x:c>
      <x:c r="C46" s="23" t="str">
        <x:v>С-1-4</x:v>
      </x:c>
      <x:c r="D46" s="23" t="str">
        <x:v>Х-1</x:v>
      </x:c>
      <x:c r="E46" s="23" t="str">
        <x:v>∅8 А240; L=2300 мм; ГОСТ 34028-2016</x:v>
      </x:c>
      <x:c r="F46" s="23" t="str">
        <x:v>шт</x:v>
      </x:c>
      <x:c r="G46" s="26" t="n">
        <x:f>'03_Спец_РД'!H46</x:f>
        <x:v>79</x:v>
      </x:c>
      <x:c r="H46" s="26" t="n">
        <x:f>'02_Экземпляры'!F10</x:f>
        <x:v>1</x:v>
      </x:c>
      <x:c r="I46" s="26" t="n">
        <x:f>1</x:f>
        <x:v>1</x:v>
      </x:c>
      <x:c r="J46" s="26" t="n">
        <x:f>G46*H46*I46</x:f>
        <x:v>79</x:v>
      </x:c>
      <x:c r="K46" s="26" t="n">
        <x:f>IF('03_Спец_РД'!I46="","",'03_Спец_РД'!I46)</x:f>
        <x:v>0.91</x:v>
      </x:c>
      <x:c r="L46" s="26" t="n">
        <x:f>IF(K46="","",J46*K46)</x:f>
        <x:v>71.89</x:v>
      </x:c>
      <x:c r="M46" s="23" t="str">
        <x:v>Арматура</x:v>
      </x:c>
      <x:c r="N46" s="23" t="str">
        <x:v>АС.2 л.53; PDF 63</x:v>
      </x:c>
      <x:c r="O46" s="23" t="str">
        <x:v>S53_С-1-4_Х-1</x:v>
      </x:c>
      <x:c r="P46" s="23" t="str"/>
      <x:c r="Q46" s="26" t="n">
        <x:f>IF('03_Спец_РД'!N46="","",'03_Спец_РД'!N46)</x:f>
        <x:v>2300</x:v>
      </x:c>
      <x:c r="R46" s="26" t="n">
        <x:f>IF(F46="м",J46,IF(Q46="","",J46*Q46/1000))</x:f>
        <x:v>181.7</x:v>
      </x:c>
    </x:row>
    <x:row r="47" ht="54" customHeight="1">
      <x:c r="A47" s="23" t="str">
        <x:v>L1_С-1-4/Ш-2</x:v>
      </x:c>
      <x:c r="B47" s="23" t="str">
        <x:v>P0</x:v>
      </x:c>
      <x:c r="C47" s="23" t="str">
        <x:v>С-1-4</x:v>
      </x:c>
      <x:c r="D47" s="23" t="str">
        <x:v>Ш-2</x:v>
      </x:c>
      <x:c r="E47" s="23" t="str">
        <x:v>∅10 А240; L=450 мм; ГОСТ 34028-2016</x:v>
      </x:c>
      <x:c r="F47" s="23" t="str">
        <x:v>шт</x:v>
      </x:c>
      <x:c r="G47" s="26" t="n">
        <x:f>'03_Спец_РД'!H47</x:f>
        <x:v>79</x:v>
      </x:c>
      <x:c r="H47" s="26" t="n">
        <x:f>'02_Экземпляры'!F10</x:f>
        <x:v>1</x:v>
      </x:c>
      <x:c r="I47" s="26" t="n">
        <x:f>1</x:f>
        <x:v>1</x:v>
      </x:c>
      <x:c r="J47" s="26" t="n">
        <x:f>G47*H47*I47</x:f>
        <x:v>79</x:v>
      </x:c>
      <x:c r="K47" s="26" t="n">
        <x:f>IF('03_Спец_РД'!I47="","",'03_Спец_РД'!I47)</x:f>
        <x:v>0.28</x:v>
      </x:c>
      <x:c r="L47" s="26" t="n">
        <x:f>IF(K47="","",J47*K47)</x:f>
        <x:v>22.12</x:v>
      </x:c>
      <x:c r="M47" s="23" t="str">
        <x:v>Арматура</x:v>
      </x:c>
      <x:c r="N47" s="23" t="str">
        <x:v>АС.2 л.53; PDF 63</x:v>
      </x:c>
      <x:c r="O47" s="23" t="str">
        <x:v>S53_С-1-4_Ш-2</x:v>
      </x:c>
      <x:c r="P47" s="23" t="str"/>
      <x:c r="Q47" s="26" t="n">
        <x:f>IF('03_Спец_РД'!N47="","",'03_Спец_РД'!N47)</x:f>
        <x:v>450</x:v>
      </x:c>
      <x:c r="R47" s="26" t="n">
        <x:f>IF(F47="м",J47,IF(Q47="","",J47*Q47/1000))</x:f>
        <x:v>35.55</x:v>
      </x:c>
    </x:row>
    <x:row r="48" ht="54" customHeight="1">
      <x:c r="A48" s="23" t="str">
        <x:v>L1_С-1-4/Бетон</x:v>
      </x:c>
      <x:c r="B48" s="23" t="str">
        <x:v>P0</x:v>
      </x:c>
      <x:c r="C48" s="23" t="str">
        <x:v>С-1-4</x:v>
      </x:c>
      <x:c r="D48" s="23" t="str">
        <x:v>Бетон</x:v>
      </x:c>
      <x:c r="E48" s="23" t="str">
        <x:v>Тяжёлый бетон В25 F75 W6; ГОСТ 26633-2015</x:v>
      </x:c>
      <x:c r="F48" s="23" t="str">
        <x:v>м³</x:v>
      </x:c>
      <x:c r="G48" s="26" t="n">
        <x:f>'03_Спец_РД'!H48</x:f>
        <x:v>4.1</x:v>
      </x:c>
      <x:c r="H48" s="26" t="n">
        <x:f>'02_Экземпляры'!F10</x:f>
        <x:v>1</x:v>
      </x:c>
      <x:c r="I48" s="26" t="n">
        <x:f>1</x:f>
        <x:v>1</x:v>
      </x:c>
      <x:c r="J48" s="26" t="n">
        <x:f>G48*H48*I48</x:f>
        <x:v>4.1</x:v>
      </x:c>
      <x:c r="K48" s="26" t="str">
        <x:f>IF('03_Спец_РД'!I48="","",'03_Спец_РД'!I48)</x:f>
      </x:c>
      <x:c r="L48" s="26" t="str">
        <x:f>IF(K48="","",J48*K48)</x:f>
      </x:c>
      <x:c r="M48" s="23" t="str">
        <x:v>Бетон В25</x:v>
      </x:c>
      <x:c r="N48" s="23" t="str">
        <x:v>АС.2 л.53; PDF 63</x:v>
      </x:c>
      <x:c r="O48" s="23" t="str">
        <x:v>S53_С-1-4_Бетон</x:v>
      </x:c>
      <x:c r="P48" s="23" t="str">
        <x:v>F75 — по таблице.</x:v>
      </x:c>
      <x:c r="Q48" s="26" t="str">
        <x:f>IF('03_Спец_РД'!N48="","",'03_Спец_РД'!N48)</x:f>
      </x:c>
      <x:c r="R48" s="26" t="str">
        <x:f>IF(F48="м",J48,IF(Q48="","",J48*Q48/1000))</x:f>
      </x:c>
    </x:row>
    <x:row r="49" ht="54" customHeight="1">
      <x:c r="A49" s="23" t="str">
        <x:v>L1_ЛП1_F1/1</x:v>
      </x:c>
      <x:c r="B49" s="23" t="str">
        <x:v>F1</x:v>
      </x:c>
      <x:c r="C49" s="23" t="str">
        <x:v>ЛП1</x:v>
      </x:c>
      <x:c r="D49" s="23" t="str">
        <x:v>1</x:v>
      </x:c>
      <x:c r="E49" s="23" t="str">
        <x:v>∅10 А500С; L=2550 мм; ГОСТ 34028-2016</x:v>
      </x:c>
      <x:c r="F49" s="23" t="str">
        <x:v>шт</x:v>
      </x:c>
      <x:c r="G49" s="26" t="n">
        <x:f>'03_Спец_РД'!H68</x:f>
        <x:v>7</x:v>
      </x:c>
      <x:c r="H49" s="26" t="n">
        <x:f>'02_Экземпляры'!F11</x:f>
        <x:v>1</x:v>
      </x:c>
      <x:c r="I49" s="26" t="n">
        <x:f>1</x:f>
        <x:v>1</x:v>
      </x:c>
      <x:c r="J49" s="26" t="n">
        <x:f>G49*H49*I49</x:f>
        <x:v>7</x:v>
      </x:c>
      <x:c r="K49" s="26" t="n">
        <x:f>IF('03_Спец_РД'!I68="","",'03_Спец_РД'!I68)</x:f>
        <x:v>1.57</x:v>
      </x:c>
      <x:c r="L49" s="26" t="n">
        <x:f>IF(K49="","",J49*K49)</x:f>
        <x:v>10.99</x:v>
      </x:c>
      <x:c r="M49" s="23" t="str">
        <x:v>Арматура</x:v>
      </x:c>
      <x:c r="N49" s="23" t="str">
        <x:v>АС.2 л.60; PDF 70</x:v>
      </x:c>
      <x:c r="O49" s="23" t="str">
        <x:v>S60_ЛП1_1</x:v>
      </x:c>
      <x:c r="P49" s="23" t="str"/>
      <x:c r="Q49" s="26" t="n">
        <x:f>IF('03_Спец_РД'!N68="","",'03_Спец_РД'!N68)</x:f>
        <x:v>2550</x:v>
      </x:c>
      <x:c r="R49" s="26" t="n">
        <x:f>IF(F49="м",J49,IF(Q49="","",J49*Q49/1000))</x:f>
        <x:v>17.85</x:v>
      </x:c>
    </x:row>
    <x:row r="50" ht="54" customHeight="1">
      <x:c r="A50" s="23" t="str">
        <x:v>L1_ЛП1_F1/2</x:v>
      </x:c>
      <x:c r="B50" s="23" t="str">
        <x:v>F1</x:v>
      </x:c>
      <x:c r="C50" s="23" t="str">
        <x:v>ЛП1</x:v>
      </x:c>
      <x:c r="D50" s="23" t="str">
        <x:v>2</x:v>
      </x:c>
      <x:c r="E50" s="23" t="str">
        <x:v>∅10 А500С; L=1180 мм; ГОСТ 34028-2016</x:v>
      </x:c>
      <x:c r="F50" s="23" t="str">
        <x:v>шт</x:v>
      </x:c>
      <x:c r="G50" s="26" t="n">
        <x:f>'03_Спец_РД'!H69</x:f>
        <x:v>1</x:v>
      </x:c>
      <x:c r="H50" s="26" t="n">
        <x:f>'02_Экземпляры'!F11</x:f>
        <x:v>1</x:v>
      </x:c>
      <x:c r="I50" s="26" t="n">
        <x:f>1</x:f>
        <x:v>1</x:v>
      </x:c>
      <x:c r="J50" s="26" t="n">
        <x:f>G50*H50*I50</x:f>
        <x:v>1</x:v>
      </x:c>
      <x:c r="K50" s="26" t="n">
        <x:f>IF('03_Спец_РД'!I69="","",'03_Спец_РД'!I69)</x:f>
        <x:v>0.73</x:v>
      </x:c>
      <x:c r="L50" s="26" t="n">
        <x:f>IF(K50="","",J50*K50)</x:f>
        <x:v>0.73</x:v>
      </x:c>
      <x:c r="M50" s="23" t="str">
        <x:v>Арматура</x:v>
      </x:c>
      <x:c r="N50" s="23" t="str">
        <x:v>АС.2 л.60; PDF 70</x:v>
      </x:c>
      <x:c r="O50" s="23" t="str">
        <x:v>S60_ЛП1_2</x:v>
      </x:c>
      <x:c r="P50" s="23" t="str"/>
      <x:c r="Q50" s="26" t="n">
        <x:f>IF('03_Спец_РД'!N69="","",'03_Спец_РД'!N69)</x:f>
        <x:v>1180</x:v>
      </x:c>
      <x:c r="R50" s="26" t="n">
        <x:f>IF(F50="м",J50,IF(Q50="","",J50*Q50/1000))</x:f>
        <x:v>1.18</x:v>
      </x:c>
    </x:row>
    <x:row r="51" ht="54" customHeight="1">
      <x:c r="A51" s="23" t="str">
        <x:v>L1_ЛП1_F1/Кр-1/1</x:v>
      </x:c>
      <x:c r="B51" s="23" t="str">
        <x:v>F1</x:v>
      </x:c>
      <x:c r="C51" s="23" t="str">
        <x:v>ЛП1</x:v>
      </x:c>
      <x:c r="D51" s="23" t="str">
        <x:v>1</x:v>
      </x:c>
      <x:c r="E51" s="23" t="str">
        <x:v>∅10 А500С; L=1230 мм; ГОСТ 34028-2016</x:v>
      </x:c>
      <x:c r="F51" s="23" t="str">
        <x:v>шт</x:v>
      </x:c>
      <x:c r="G51" s="26" t="n">
        <x:f>'03_Спец_РД'!H97</x:f>
        <x:v>1</x:v>
      </x:c>
      <x:c r="H51" s="26" t="n">
        <x:f>'02_Экземпляры'!F11</x:f>
        <x:v>1</x:v>
      </x:c>
      <x:c r="I51" s="26" t="n">
        <x:f>'03_Спец_РД'!H70</x:f>
        <x:v>7</x:v>
      </x:c>
      <x:c r="J51" s="26" t="n">
        <x:f>G51*H51*I51</x:f>
        <x:v>7</x:v>
      </x:c>
      <x:c r="K51" s="26" t="n">
        <x:f>IF('03_Спец_РД'!I97="","",'03_Спец_РД'!I97)</x:f>
        <x:v>0.76</x:v>
      </x:c>
      <x:c r="L51" s="26" t="n">
        <x:f>IF(K51="","",J51*K51)</x:f>
        <x:v>5.32</x:v>
      </x:c>
      <x:c r="M51" s="23" t="str">
        <x:v>Арматура</x:v>
      </x:c>
      <x:c r="N51" s="23" t="str">
        <x:v>АС.2 л.65; PDF 75</x:v>
      </x:c>
      <x:c r="O51" s="23" t="str">
        <x:v>S65_Кр-1_1</x:v>
      </x:c>
      <x:c r="P51" s="23" t="str">
        <x:v>Детали каркаса раскрыты, сборочная масса отдельно не суммируется.</x:v>
      </x:c>
      <x:c r="Q51" s="26" t="n">
        <x:f>IF('03_Спец_РД'!N97="","",'03_Спец_РД'!N97)</x:f>
        <x:v>1230</x:v>
      </x:c>
      <x:c r="R51" s="26" t="n">
        <x:f>IF(F51="м",J51,IF(Q51="","",J51*Q51/1000))</x:f>
        <x:v>8.61</x:v>
      </x:c>
    </x:row>
    <x:row r="52" ht="54" customHeight="1">
      <x:c r="A52" s="23" t="str">
        <x:v>L1_ЛП1_F1/Кр-1/2</x:v>
      </x:c>
      <x:c r="B52" s="23" t="str">
        <x:v>F1</x:v>
      </x:c>
      <x:c r="C52" s="23" t="str">
        <x:v>ЛП1</x:v>
      </x:c>
      <x:c r="D52" s="23" t="str">
        <x:v>2</x:v>
      </x:c>
      <x:c r="E52" s="23" t="str">
        <x:v>∅10 А500С; L=1060 мм; ГОСТ 34028-2016</x:v>
      </x:c>
      <x:c r="F52" s="23" t="str">
        <x:v>шт</x:v>
      </x:c>
      <x:c r="G52" s="26" t="n">
        <x:f>'03_Спец_РД'!H98</x:f>
        <x:v>1</x:v>
      </x:c>
      <x:c r="H52" s="26" t="n">
        <x:f>'02_Экземпляры'!F11</x:f>
        <x:v>1</x:v>
      </x:c>
      <x:c r="I52" s="26" t="n">
        <x:f>'03_Спец_РД'!H70</x:f>
        <x:v>7</x:v>
      </x:c>
      <x:c r="J52" s="26" t="n">
        <x:f>G52*H52*I52</x:f>
        <x:v>7</x:v>
      </x:c>
      <x:c r="K52" s="26" t="n">
        <x:f>IF('03_Спец_РД'!I98="","",'03_Спец_РД'!I98)</x:f>
        <x:v>0.65</x:v>
      </x:c>
      <x:c r="L52" s="26" t="n">
        <x:f>IF(K52="","",J52*K52)</x:f>
        <x:v>4.55</x:v>
      </x:c>
      <x:c r="M52" s="23" t="str">
        <x:v>Арматура</x:v>
      </x:c>
      <x:c r="N52" s="23" t="str">
        <x:v>АС.2 л.65; PDF 75</x:v>
      </x:c>
      <x:c r="O52" s="23" t="str">
        <x:v>S65_Кр-1_2</x:v>
      </x:c>
      <x:c r="P52" s="23" t="str">
        <x:v>Детали каркаса раскрыты, сборочная масса отдельно не суммируется.</x:v>
      </x:c>
      <x:c r="Q52" s="26" t="n">
        <x:f>IF('03_Спец_РД'!N98="","",'03_Спец_РД'!N98)</x:f>
        <x:v>1060</x:v>
      </x:c>
      <x:c r="R52" s="26" t="n">
        <x:f>IF(F52="м",J52,IF(Q52="","",J52*Q52/1000))</x:f>
        <x:v>7.42</x:v>
      </x:c>
    </x:row>
    <x:row r="53" ht="54" customHeight="1">
      <x:c r="A53" s="23" t="str">
        <x:v>L1_ЛП1_F1/Кр-1/3</x:v>
      </x:c>
      <x:c r="B53" s="23" t="str">
        <x:v>F1</x:v>
      </x:c>
      <x:c r="C53" s="23" t="str">
        <x:v>ЛП1</x:v>
      </x:c>
      <x:c r="D53" s="23" t="str">
        <x:v>3</x:v>
      </x:c>
      <x:c r="E53" s="23" t="str">
        <x:v>∅10 А500С; L=130 мм; ГОСТ 34028-2016</x:v>
      </x:c>
      <x:c r="F53" s="23" t="str">
        <x:v>шт</x:v>
      </x:c>
      <x:c r="G53" s="26" t="n">
        <x:f>'03_Спец_РД'!H99</x:f>
        <x:v>6</x:v>
      </x:c>
      <x:c r="H53" s="26" t="n">
        <x:f>'02_Экземпляры'!F11</x:f>
        <x:v>1</x:v>
      </x:c>
      <x:c r="I53" s="26" t="n">
        <x:f>'03_Спец_РД'!H70</x:f>
        <x:v>7</x:v>
      </x:c>
      <x:c r="J53" s="26" t="n">
        <x:f>G53*H53*I53</x:f>
        <x:v>42</x:v>
      </x:c>
      <x:c r="K53" s="26" t="n">
        <x:f>IF('03_Спец_РД'!I99="","",'03_Спец_РД'!I99)</x:f>
        <x:v>0.08</x:v>
      </x:c>
      <x:c r="L53" s="26" t="n">
        <x:f>IF(K53="","",J53*K53)</x:f>
        <x:v>3.36</x:v>
      </x:c>
      <x:c r="M53" s="23" t="str">
        <x:v>Арматура</x:v>
      </x:c>
      <x:c r="N53" s="23" t="str">
        <x:v>АС.2 л.65; PDF 75</x:v>
      </x:c>
      <x:c r="O53" s="23" t="str">
        <x:v>S65_Кр-1_3</x:v>
      </x:c>
      <x:c r="P53" s="23" t="str">
        <x:v>Детали каркаса раскрыты, сборочная масса отдельно не суммируется.</x:v>
      </x:c>
      <x:c r="Q53" s="26" t="n">
        <x:f>IF('03_Спец_РД'!N99="","",'03_Спец_РД'!N99)</x:f>
        <x:v>130</x:v>
      </x:c>
      <x:c r="R53" s="26" t="n">
        <x:f>IF(F53="м",J53,IF(Q53="","",J53*Q53/1000))</x:f>
        <x:v>5.46</x:v>
      </x:c>
    </x:row>
    <x:row r="54" ht="54" customHeight="1">
      <x:c r="A54" s="23" t="str">
        <x:v>L1_ЛП1_F1/Кр-2/4</x:v>
      </x:c>
      <x:c r="B54" s="23" t="str">
        <x:v>F1</x:v>
      </x:c>
      <x:c r="C54" s="23" t="str">
        <x:v>ЛП1</x:v>
      </x:c>
      <x:c r="D54" s="23" t="str">
        <x:v>4</x:v>
      </x:c>
      <x:c r="E54" s="23" t="str">
        <x:v>∅10 А500С; L=1130 мм; ГОСТ 34028-2016</x:v>
      </x:c>
      <x:c r="F54" s="23" t="str">
        <x:v>шт</x:v>
      </x:c>
      <x:c r="G54" s="26" t="n">
        <x:f>'03_Спец_РД'!H100</x:f>
        <x:v>1</x:v>
      </x:c>
      <x:c r="H54" s="26" t="n">
        <x:f>'02_Экземпляры'!F11</x:f>
        <x:v>1</x:v>
      </x:c>
      <x:c r="I54" s="26" t="n">
        <x:f>'03_Спец_РД'!H71</x:f>
        <x:v>7</x:v>
      </x:c>
      <x:c r="J54" s="26" t="n">
        <x:f>G54*H54*I54</x:f>
        <x:v>7</x:v>
      </x:c>
      <x:c r="K54" s="26" t="n">
        <x:f>IF('03_Спец_РД'!I100="","",'03_Спец_РД'!I100)</x:f>
        <x:v>0.7</x:v>
      </x:c>
      <x:c r="L54" s="26" t="n">
        <x:f>IF(K54="","",J54*K54)</x:f>
        <x:v>4.8999999999999995</x:v>
      </x:c>
      <x:c r="M54" s="23" t="str">
        <x:v>Арматура</x:v>
      </x:c>
      <x:c r="N54" s="23" t="str">
        <x:v>АС.2 л.65; PDF 75</x:v>
      </x:c>
      <x:c r="O54" s="23" t="str">
        <x:v>S65_Кр-2_4</x:v>
      </x:c>
      <x:c r="P54" s="23" t="str">
        <x:v>Детали каркаса раскрыты, сборочная масса отдельно не суммируется.</x:v>
      </x:c>
      <x:c r="Q54" s="26" t="n">
        <x:f>IF('03_Спец_РД'!N100="","",'03_Спец_РД'!N100)</x:f>
        <x:v>1130</x:v>
      </x:c>
      <x:c r="R54" s="26" t="n">
        <x:f>IF(F54="м",J54,IF(Q54="","",J54*Q54/1000))</x:f>
        <x:v>7.91</x:v>
      </x:c>
    </x:row>
    <x:row r="55" ht="54" customHeight="1">
      <x:c r="A55" s="23" t="str">
        <x:v>L1_ЛП1_F1/Кр-2/2</x:v>
      </x:c>
      <x:c r="B55" s="23" t="str">
        <x:v>F1</x:v>
      </x:c>
      <x:c r="C55" s="23" t="str">
        <x:v>ЛП1</x:v>
      </x:c>
      <x:c r="D55" s="23" t="str">
        <x:v>2</x:v>
      </x:c>
      <x:c r="E55" s="23" t="str">
        <x:v>∅10 А500С; L=1060 мм; ГОСТ 34028-2016</x:v>
      </x:c>
      <x:c r="F55" s="23" t="str">
        <x:v>шт</x:v>
      </x:c>
      <x:c r="G55" s="26" t="n">
        <x:f>'03_Спец_РД'!H101</x:f>
        <x:v>1</x:v>
      </x:c>
      <x:c r="H55" s="26" t="n">
        <x:f>'02_Экземпляры'!F11</x:f>
        <x:v>1</x:v>
      </x:c>
      <x:c r="I55" s="26" t="n">
        <x:f>'03_Спец_РД'!H71</x:f>
        <x:v>7</x:v>
      </x:c>
      <x:c r="J55" s="26" t="n">
        <x:f>G55*H55*I55</x:f>
        <x:v>7</x:v>
      </x:c>
      <x:c r="K55" s="26" t="n">
        <x:f>IF('03_Спец_РД'!I101="","",'03_Спец_РД'!I101)</x:f>
        <x:v>0.65</x:v>
      </x:c>
      <x:c r="L55" s="26" t="n">
        <x:f>IF(K55="","",J55*K55)</x:f>
        <x:v>4.55</x:v>
      </x:c>
      <x:c r="M55" s="23" t="str">
        <x:v>Арматура</x:v>
      </x:c>
      <x:c r="N55" s="23" t="str">
        <x:v>АС.2 л.65; PDF 75</x:v>
      </x:c>
      <x:c r="O55" s="23" t="str">
        <x:v>S65_Кр-2_2</x:v>
      </x:c>
      <x:c r="P55" s="23" t="str">
        <x:v>Детали каркаса раскрыты, сборочная масса отдельно не суммируется.</x:v>
      </x:c>
      <x:c r="Q55" s="26" t="n">
        <x:f>IF('03_Спец_РД'!N101="","",'03_Спец_РД'!N101)</x:f>
        <x:v>1060</x:v>
      </x:c>
      <x:c r="R55" s="26" t="n">
        <x:f>IF(F55="м",J55,IF(Q55="","",J55*Q55/1000))</x:f>
        <x:v>7.42</x:v>
      </x:c>
    </x:row>
    <x:row r="56" ht="54" customHeight="1">
      <x:c r="A56" s="23" t="str">
        <x:v>L1_ЛП1_F1/Кр-2/3</x:v>
      </x:c>
      <x:c r="B56" s="23" t="str">
        <x:v>F1</x:v>
      </x:c>
      <x:c r="C56" s="23" t="str">
        <x:v>ЛП1</x:v>
      </x:c>
      <x:c r="D56" s="23" t="str">
        <x:v>3</x:v>
      </x:c>
      <x:c r="E56" s="23" t="str">
        <x:v>∅10 А500С; L=130 мм; ГОСТ 34028-2016</x:v>
      </x:c>
      <x:c r="F56" s="23" t="str">
        <x:v>шт</x:v>
      </x:c>
      <x:c r="G56" s="26" t="n">
        <x:f>'03_Спец_РД'!H102</x:f>
        <x:v>6</x:v>
      </x:c>
      <x:c r="H56" s="26" t="n">
        <x:f>'02_Экземпляры'!F11</x:f>
        <x:v>1</x:v>
      </x:c>
      <x:c r="I56" s="26" t="n">
        <x:f>'03_Спец_РД'!H71</x:f>
        <x:v>7</x:v>
      </x:c>
      <x:c r="J56" s="26" t="n">
        <x:f>G56*H56*I56</x:f>
        <x:v>42</x:v>
      </x:c>
      <x:c r="K56" s="26" t="n">
        <x:f>IF('03_Спец_РД'!I102="","",'03_Спец_РД'!I102)</x:f>
        <x:v>0.08</x:v>
      </x:c>
      <x:c r="L56" s="26" t="n">
        <x:f>IF(K56="","",J56*K56)</x:f>
        <x:v>3.36</x:v>
      </x:c>
      <x:c r="M56" s="23" t="str">
        <x:v>Арматура</x:v>
      </x:c>
      <x:c r="N56" s="23" t="str">
        <x:v>АС.2 л.65; PDF 75</x:v>
      </x:c>
      <x:c r="O56" s="23" t="str">
        <x:v>S65_Кр-2_3</x:v>
      </x:c>
      <x:c r="P56" s="23" t="str">
        <x:v>Детали каркаса раскрыты, сборочная масса отдельно не суммируется.</x:v>
      </x:c>
      <x:c r="Q56" s="26" t="n">
        <x:f>IF('03_Спец_РД'!N102="","",'03_Спец_РД'!N102)</x:f>
        <x:v>130</x:v>
      </x:c>
      <x:c r="R56" s="26" t="n">
        <x:f>IF(F56="м",J56,IF(Q56="","",J56*Q56/1000))</x:f>
        <x:v>5.46</x:v>
      </x:c>
    </x:row>
    <x:row r="57" ht="54" customHeight="1">
      <x:c r="A57" s="23" t="str">
        <x:v>L1_ЛП1_F1/П-1</x:v>
      </x:c>
      <x:c r="B57" s="23" t="str">
        <x:v>F1</x:v>
      </x:c>
      <x:c r="C57" s="23" t="str">
        <x:v>ЛП1</x:v>
      </x:c>
      <x:c r="D57" s="23" t="str">
        <x:v>П-1</x:v>
      </x:c>
      <x:c r="E57" s="23" t="str">
        <x:v>∅10 А500С; L=1100 мм; ГОСТ 34028-2016</x:v>
      </x:c>
      <x:c r="F57" s="23" t="str">
        <x:v>шт</x:v>
      </x:c>
      <x:c r="G57" s="26" t="n">
        <x:f>'03_Спец_РД'!H72</x:f>
        <x:v>7</x:v>
      </x:c>
      <x:c r="H57" s="26" t="n">
        <x:f>'02_Экземпляры'!F11</x:f>
        <x:v>1</x:v>
      </x:c>
      <x:c r="I57" s="26" t="n">
        <x:f>1</x:f>
        <x:v>1</x:v>
      </x:c>
      <x:c r="J57" s="26" t="n">
        <x:f>G57*H57*I57</x:f>
        <x:v>7</x:v>
      </x:c>
      <x:c r="K57" s="26" t="n">
        <x:f>IF('03_Спец_РД'!I72="","",'03_Спец_РД'!I72)</x:f>
        <x:v>0.68</x:v>
      </x:c>
      <x:c r="L57" s="26" t="n">
        <x:f>IF(K57="","",J57*K57)</x:f>
        <x:v>4.760000000000001</x:v>
      </x:c>
      <x:c r="M57" s="23" t="str">
        <x:v>Арматура</x:v>
      </x:c>
      <x:c r="N57" s="23" t="str">
        <x:v>АС.2 л.60; PDF 70</x:v>
      </x:c>
      <x:c r="O57" s="23" t="str">
        <x:v>S60_ЛП1_П-1</x:v>
      </x:c>
      <x:c r="P57" s="23" t="str"/>
      <x:c r="Q57" s="26" t="n">
        <x:f>IF('03_Спец_РД'!N72="","",'03_Спец_РД'!N72)</x:f>
        <x:v>1100</x:v>
      </x:c>
      <x:c r="R57" s="26" t="n">
        <x:f>IF(F57="м",J57,IF(Q57="","",J57*Q57/1000))</x:f>
        <x:v>7.7</x:v>
      </x:c>
    </x:row>
    <x:row r="58" ht="54" customHeight="1">
      <x:c r="A58" s="23" t="str">
        <x:v>L1_ЛП1_F1/П-2</x:v>
      </x:c>
      <x:c r="B58" s="23" t="str">
        <x:v>F1</x:v>
      </x:c>
      <x:c r="C58" s="23" t="str">
        <x:v>ЛП1</x:v>
      </x:c>
      <x:c r="D58" s="23" t="str">
        <x:v>П-2</x:v>
      </x:c>
      <x:c r="E58" s="23" t="str">
        <x:v>∅10 А500С; L=1080 мм; ГОСТ 34028-2016</x:v>
      </x:c>
      <x:c r="F58" s="23" t="str">
        <x:v>шт</x:v>
      </x:c>
      <x:c r="G58" s="26" t="n">
        <x:f>'03_Спец_РД'!H73</x:f>
        <x:v>7</x:v>
      </x:c>
      <x:c r="H58" s="26" t="n">
        <x:f>'02_Экземпляры'!F11</x:f>
        <x:v>1</x:v>
      </x:c>
      <x:c r="I58" s="26" t="n">
        <x:f>1</x:f>
        <x:v>1</x:v>
      </x:c>
      <x:c r="J58" s="26" t="n">
        <x:f>G58*H58*I58</x:f>
        <x:v>7</x:v>
      </x:c>
      <x:c r="K58" s="26" t="n">
        <x:f>IF('03_Спец_РД'!I73="","",'03_Спец_РД'!I73)</x:f>
        <x:v>0.67</x:v>
      </x:c>
      <x:c r="L58" s="26" t="n">
        <x:f>IF(K58="","",J58*K58)</x:f>
        <x:v>4.69</x:v>
      </x:c>
      <x:c r="M58" s="23" t="str">
        <x:v>Арматура</x:v>
      </x:c>
      <x:c r="N58" s="23" t="str">
        <x:v>АС.2 л.60; PDF 70</x:v>
      </x:c>
      <x:c r="O58" s="23" t="str">
        <x:v>S60_ЛП1_П-2</x:v>
      </x:c>
      <x:c r="P58" s="23" t="str"/>
      <x:c r="Q58" s="26" t="n">
        <x:f>IF('03_Спец_РД'!N73="","",'03_Спец_РД'!N73)</x:f>
        <x:v>1080</x:v>
      </x:c>
      <x:c r="R58" s="26" t="n">
        <x:f>IF(F58="м",J58,IF(Q58="","",J58*Q58/1000))</x:f>
        <x:v>7.56</x:v>
      </x:c>
    </x:row>
    <x:row r="59" ht="54" customHeight="1">
      <x:c r="A59" s="23" t="str">
        <x:v>L1_ЛП1_F1/Профлист</x:v>
      </x:c>
      <x:c r="B59" s="23" t="str">
        <x:v>F1</x:v>
      </x:c>
      <x:c r="C59" s="23" t="str">
        <x:v>ЛП1</x:v>
      </x:c>
      <x:c r="D59" s="23" t="str">
        <x:v>Профлист</x:v>
      </x:c>
      <x:c r="E59" s="23" t="str">
        <x:v>Профлист Н75-750-0,8; ГОСТ 24045-2016</x:v>
      </x:c>
      <x:c r="F59" s="23" t="str">
        <x:v>м²</x:v>
      </x:c>
      <x:c r="G59" s="26" t="n">
        <x:f>'03_Спец_РД'!H74</x:f>
        <x:v>4</x:v>
      </x:c>
      <x:c r="H59" s="26" t="n">
        <x:f>'02_Экземпляры'!F11</x:f>
        <x:v>1</x:v>
      </x:c>
      <x:c r="I59" s="26" t="n">
        <x:f>1</x:f>
        <x:v>1</x:v>
      </x:c>
      <x:c r="J59" s="26" t="n">
        <x:f>G59*H59*I59</x:f>
        <x:v>4</x:v>
      </x:c>
      <x:c r="K59" s="26" t="str">
        <x:f>IF('03_Спец_РД'!I74="","",'03_Спец_РД'!I74)</x:f>
      </x:c>
      <x:c r="L59" s="26" t="str">
        <x:f>IF(K59="","",J59*K59)</x:f>
      </x:c>
      <x:c r="M59" s="23" t="str">
        <x:v>Профлист</x:v>
      </x:c>
      <x:c r="N59" s="23" t="str">
        <x:v>АС.2 л.60; PDF 70</x:v>
      </x:c>
      <x:c r="O59" s="23" t="str">
        <x:v>S60_ЛП1_Профлист</x:v>
      </x:c>
      <x:c r="P59" s="23" t="str">
        <x:v>Количество по РД; не пересчитывалось по горизонтальной проекции площадки.</x:v>
      </x:c>
      <x:c r="Q59" s="26" t="str">
        <x:f>IF('03_Спец_РД'!N74="","",'03_Спец_РД'!N74)</x:f>
      </x:c>
      <x:c r="R59" s="26" t="str">
        <x:f>IF(F59="м",J59,IF(Q59="","",J59*Q59/1000))</x:f>
      </x:c>
    </x:row>
    <x:row r="60" ht="54" customHeight="1">
      <x:c r="A60" s="23" t="str">
        <x:v>L1_ЛП1_F1/Бетон</x:v>
      </x:c>
      <x:c r="B60" s="23" t="str">
        <x:v>F1</x:v>
      </x:c>
      <x:c r="C60" s="23" t="str">
        <x:v>ЛП1</x:v>
      </x:c>
      <x:c r="D60" s="23" t="str">
        <x:v>Бетон</x:v>
      </x:c>
      <x:c r="E60" s="23" t="str">
        <x:v>Тяжёлый бетон В25; ГОСТ 26633-2015</x:v>
      </x:c>
      <x:c r="F60" s="23" t="str">
        <x:v>м³</x:v>
      </x:c>
      <x:c r="G60" s="26" t="n">
        <x:f>'03_Спец_РД'!H75</x:f>
        <x:v>0.6</x:v>
      </x:c>
      <x:c r="H60" s="26" t="n">
        <x:f>'02_Экземпляры'!F11</x:f>
        <x:v>1</x:v>
      </x:c>
      <x:c r="I60" s="26" t="n">
        <x:f>1</x:f>
        <x:v>1</x:v>
      </x:c>
      <x:c r="J60" s="26" t="n">
        <x:f>G60*H60*I60</x:f>
        <x:v>0.6</x:v>
      </x:c>
      <x:c r="K60" s="26" t="str">
        <x:f>IF('03_Спец_РД'!I75="","",'03_Спец_РД'!I75)</x:f>
      </x:c>
      <x:c r="L60" s="26" t="str">
        <x:f>IF(K60="","",J60*K60)</x:f>
      </x:c>
      <x:c r="M60" s="23" t="str">
        <x:v>Бетон В25</x:v>
      </x:c>
      <x:c r="N60" s="23" t="str">
        <x:v>АС.2 л.60; PDF 70</x:v>
      </x:c>
      <x:c r="O60" s="23" t="str">
        <x:v>S60_ЛП1_Бетон</x:v>
      </x:c>
      <x:c r="P60" s="23" t="str"/>
      <x:c r="Q60" s="26" t="str">
        <x:f>IF('03_Спец_РД'!N75="","",'03_Спец_РД'!N75)</x:f>
      </x:c>
      <x:c r="R60" s="26" t="str">
        <x:f>IF(F60="м",J60,IF(Q60="","",J60*Q60/1000))</x:f>
      </x:c>
    </x:row>
    <x:row r="61" ht="54" customHeight="1">
      <x:c r="A61" s="23" t="str">
        <x:v>L1_ЛП2_F2/1</x:v>
      </x:c>
      <x:c r="B61" s="23" t="str">
        <x:v>F2</x:v>
      </x:c>
      <x:c r="C61" s="23" t="str">
        <x:v>ЛП2</x:v>
      </x:c>
      <x:c r="D61" s="23" t="str">
        <x:v>1</x:v>
      </x:c>
      <x:c r="E61" s="23" t="str">
        <x:v>∅10 А500С; L=2550 мм; ГОСТ 34028-2016</x:v>
      </x:c>
      <x:c r="F61" s="23" t="str">
        <x:v>шт</x:v>
      </x:c>
      <x:c r="G61" s="26" t="n">
        <x:f>'03_Спец_РД'!H76</x:f>
        <x:v>10</x:v>
      </x:c>
      <x:c r="H61" s="26" t="n">
        <x:f>'02_Экземпляры'!F12</x:f>
        <x:v>1</x:v>
      </x:c>
      <x:c r="I61" s="26" t="n">
        <x:f>1</x:f>
        <x:v>1</x:v>
      </x:c>
      <x:c r="J61" s="26" t="n">
        <x:f>G61*H61*I61</x:f>
        <x:v>10</x:v>
      </x:c>
      <x:c r="K61" s="26" t="n">
        <x:f>IF('03_Спец_РД'!I76="","",'03_Спец_РД'!I76)</x:f>
        <x:v>1.57</x:v>
      </x:c>
      <x:c r="L61" s="26" t="n">
        <x:f>IF(K61="","",J61*K61)</x:f>
        <x:v>15.700000000000001</x:v>
      </x:c>
      <x:c r="M61" s="23" t="str">
        <x:v>Арматура</x:v>
      </x:c>
      <x:c r="N61" s="23" t="str">
        <x:v>АС.2 л.61; PDF 71</x:v>
      </x:c>
      <x:c r="O61" s="23" t="str">
        <x:v>S61_ЛП2_1</x:v>
      </x:c>
      <x:c r="P61" s="23" t="str"/>
      <x:c r="Q61" s="26" t="n">
        <x:f>IF('03_Спец_РД'!N76="","",'03_Спец_РД'!N76)</x:f>
        <x:v>2550</x:v>
      </x:c>
      <x:c r="R61" s="26" t="n">
        <x:f>IF(F61="м",J61,IF(Q61="","",J61*Q61/1000))</x:f>
        <x:v>25.5</x:v>
      </x:c>
    </x:row>
    <x:row r="62" ht="54" customHeight="1">
      <x:c r="A62" s="23" t="str">
        <x:v>L1_ЛП2_F2/2</x:v>
      </x:c>
      <x:c r="B62" s="23" t="str">
        <x:v>F2</x:v>
      </x:c>
      <x:c r="C62" s="23" t="str">
        <x:v>ЛП2</x:v>
      </x:c>
      <x:c r="D62" s="23" t="str">
        <x:v>2</x:v>
      </x:c>
      <x:c r="E62" s="23" t="str">
        <x:v>∅10 А500С; L=1180 мм; ГОСТ 34028-2016</x:v>
      </x:c>
      <x:c r="F62" s="23" t="str">
        <x:v>шт</x:v>
      </x:c>
      <x:c r="G62" s="26" t="n">
        <x:f>'03_Спец_РД'!H77</x:f>
        <x:v>1</x:v>
      </x:c>
      <x:c r="H62" s="26" t="n">
        <x:f>'02_Экземпляры'!F12</x:f>
        <x:v>1</x:v>
      </x:c>
      <x:c r="I62" s="26" t="n">
        <x:f>1</x:f>
        <x:v>1</x:v>
      </x:c>
      <x:c r="J62" s="26" t="n">
        <x:f>G62*H62*I62</x:f>
        <x:v>1</x:v>
      </x:c>
      <x:c r="K62" s="26" t="n">
        <x:f>IF('03_Спец_РД'!I77="","",'03_Спец_РД'!I77)</x:f>
        <x:v>0.73</x:v>
      </x:c>
      <x:c r="L62" s="26" t="n">
        <x:f>IF(K62="","",J62*K62)</x:f>
        <x:v>0.73</x:v>
      </x:c>
      <x:c r="M62" s="23" t="str">
        <x:v>Арматура</x:v>
      </x:c>
      <x:c r="N62" s="23" t="str">
        <x:v>АС.2 л.61; PDF 71</x:v>
      </x:c>
      <x:c r="O62" s="23" t="str">
        <x:v>S61_ЛП2_2</x:v>
      </x:c>
      <x:c r="P62" s="23" t="str"/>
      <x:c r="Q62" s="26" t="n">
        <x:f>IF('03_Спец_РД'!N77="","",'03_Спец_РД'!N77)</x:f>
        <x:v>1180</x:v>
      </x:c>
      <x:c r="R62" s="26" t="n">
        <x:f>IF(F62="м",J62,IF(Q62="","",J62*Q62/1000))</x:f>
        <x:v>1.18</x:v>
      </x:c>
    </x:row>
    <x:row r="63" ht="54" customHeight="1">
      <x:c r="A63" s="23" t="str">
        <x:v>L1_ЛП2_F2/Кр-3/5</x:v>
      </x:c>
      <x:c r="B63" s="23" t="str">
        <x:v>F2</x:v>
      </x:c>
      <x:c r="C63" s="23" t="str">
        <x:v>ЛП2</x:v>
      </x:c>
      <x:c r="D63" s="23" t="str">
        <x:v>5</x:v>
      </x:c>
      <x:c r="E63" s="23" t="str">
        <x:v>∅10 А500С; L=1930 мм; ГОСТ 34028-2016</x:v>
      </x:c>
      <x:c r="F63" s="23" t="str">
        <x:v>шт</x:v>
      </x:c>
      <x:c r="G63" s="26" t="n">
        <x:f>'03_Спец_РД'!H103</x:f>
        <x:v>1</x:v>
      </x:c>
      <x:c r="H63" s="26" t="n">
        <x:f>'02_Экземпляры'!F12</x:f>
        <x:v>1</x:v>
      </x:c>
      <x:c r="I63" s="26" t="n">
        <x:f>'03_Спец_РД'!H78</x:f>
        <x:v>7</x:v>
      </x:c>
      <x:c r="J63" s="26" t="n">
        <x:f>G63*H63*I63</x:f>
        <x:v>7</x:v>
      </x:c>
      <x:c r="K63" s="26" t="n">
        <x:f>IF('03_Спец_РД'!I103="","",'03_Спец_РД'!I103)</x:f>
        <x:v>1.19</x:v>
      </x:c>
      <x:c r="L63" s="26" t="n">
        <x:f>IF(K63="","",J63*K63)</x:f>
        <x:v>8.33</x:v>
      </x:c>
      <x:c r="M63" s="23" t="str">
        <x:v>Арматура</x:v>
      </x:c>
      <x:c r="N63" s="23" t="str">
        <x:v>АС.2 л.65; PDF 75</x:v>
      </x:c>
      <x:c r="O63" s="23" t="str">
        <x:v>S65_Кр-3_5</x:v>
      </x:c>
      <x:c r="P63" s="23" t="str">
        <x:v>Детали каркаса раскрыты, сборочная масса отдельно не суммируется.</x:v>
      </x:c>
      <x:c r="Q63" s="26" t="n">
        <x:f>IF('03_Спец_РД'!N103="","",'03_Спец_РД'!N103)</x:f>
        <x:v>1930</x:v>
      </x:c>
      <x:c r="R63" s="26" t="n">
        <x:f>IF(F63="м",J63,IF(Q63="","",J63*Q63/1000))</x:f>
        <x:v>13.51</x:v>
      </x:c>
    </x:row>
    <x:row r="64" ht="54" customHeight="1">
      <x:c r="A64" s="23" t="str">
        <x:v>L1_ЛП2_F2/Кр-3/6</x:v>
      </x:c>
      <x:c r="B64" s="23" t="str">
        <x:v>F2</x:v>
      </x:c>
      <x:c r="C64" s="23" t="str">
        <x:v>ЛП2</x:v>
      </x:c>
      <x:c r="D64" s="23" t="str">
        <x:v>6</x:v>
      </x:c>
      <x:c r="E64" s="23" t="str">
        <x:v>∅10 А500С; L=1750 мм; ГОСТ 34028-2016</x:v>
      </x:c>
      <x:c r="F64" s="23" t="str">
        <x:v>шт</x:v>
      </x:c>
      <x:c r="G64" s="26" t="n">
        <x:f>'03_Спец_РД'!H104</x:f>
        <x:v>1</x:v>
      </x:c>
      <x:c r="H64" s="26" t="n">
        <x:f>'02_Экземпляры'!F12</x:f>
        <x:v>1</x:v>
      </x:c>
      <x:c r="I64" s="26" t="n">
        <x:f>'03_Спец_РД'!H78</x:f>
        <x:v>7</x:v>
      </x:c>
      <x:c r="J64" s="26" t="n">
        <x:f>G64*H64*I64</x:f>
        <x:v>7</x:v>
      </x:c>
      <x:c r="K64" s="26" t="n">
        <x:f>IF('03_Спец_РД'!I104="","",'03_Спец_РД'!I104)</x:f>
        <x:v>1.08</x:v>
      </x:c>
      <x:c r="L64" s="26" t="n">
        <x:f>IF(K64="","",J64*K64)</x:f>
        <x:v>7.5600000000000005</x:v>
      </x:c>
      <x:c r="M64" s="23" t="str">
        <x:v>Арматура</x:v>
      </x:c>
      <x:c r="N64" s="23" t="str">
        <x:v>АС.2 л.65; PDF 75</x:v>
      </x:c>
      <x:c r="O64" s="23" t="str">
        <x:v>S65_Кр-3_6</x:v>
      </x:c>
      <x:c r="P64" s="23" t="str">
        <x:v>Детали каркаса раскрыты, сборочная масса отдельно не суммируется.</x:v>
      </x:c>
      <x:c r="Q64" s="26" t="n">
        <x:f>IF('03_Спец_РД'!N104="","",'03_Спец_РД'!N104)</x:f>
        <x:v>1750</x:v>
      </x:c>
      <x:c r="R64" s="26" t="n">
        <x:f>IF(F64="м",J64,IF(Q64="","",J64*Q64/1000))</x:f>
        <x:v>12.25</x:v>
      </x:c>
    </x:row>
    <x:row r="65" ht="54" customHeight="1">
      <x:c r="A65" s="23" t="str">
        <x:v>L1_ЛП2_F2/Кр-3/3</x:v>
      </x:c>
      <x:c r="B65" s="23" t="str">
        <x:v>F2</x:v>
      </x:c>
      <x:c r="C65" s="23" t="str">
        <x:v>ЛП2</x:v>
      </x:c>
      <x:c r="D65" s="23" t="str">
        <x:v>3</x:v>
      </x:c>
      <x:c r="E65" s="23" t="str">
        <x:v>∅10 А500С; L=130 мм; ГОСТ 34028-2016</x:v>
      </x:c>
      <x:c r="F65" s="23" t="str">
        <x:v>шт</x:v>
      </x:c>
      <x:c r="G65" s="26" t="n">
        <x:f>'03_Спец_РД'!H105</x:f>
        <x:v>10</x:v>
      </x:c>
      <x:c r="H65" s="26" t="n">
        <x:f>'02_Экземпляры'!F12</x:f>
        <x:v>1</x:v>
      </x:c>
      <x:c r="I65" s="26" t="n">
        <x:f>'03_Спец_РД'!H78</x:f>
        <x:v>7</x:v>
      </x:c>
      <x:c r="J65" s="26" t="n">
        <x:f>G65*H65*I65</x:f>
        <x:v>70</x:v>
      </x:c>
      <x:c r="K65" s="26" t="n">
        <x:f>IF('03_Спец_РД'!I105="","",'03_Спец_РД'!I105)</x:f>
        <x:v>0.08</x:v>
      </x:c>
      <x:c r="L65" s="26" t="n">
        <x:f>IF(K65="","",J65*K65)</x:f>
        <x:v>5.6000000000000005</x:v>
      </x:c>
      <x:c r="M65" s="23" t="str">
        <x:v>Арматура</x:v>
      </x:c>
      <x:c r="N65" s="23" t="str">
        <x:v>АС.2 л.65; PDF 75</x:v>
      </x:c>
      <x:c r="O65" s="23" t="str">
        <x:v>S65_Кр-3_3</x:v>
      </x:c>
      <x:c r="P65" s="23" t="str">
        <x:v>Детали каркаса раскрыты, сборочная масса отдельно не суммируется.</x:v>
      </x:c>
      <x:c r="Q65" s="26" t="n">
        <x:f>IF('03_Спец_РД'!N105="","",'03_Спец_РД'!N105)</x:f>
        <x:v>130</x:v>
      </x:c>
      <x:c r="R65" s="26" t="n">
        <x:f>IF(F65="м",J65,IF(Q65="","",J65*Q65/1000))</x:f>
        <x:v>9.1</x:v>
      </x:c>
    </x:row>
    <x:row r="66" ht="54" customHeight="1">
      <x:c r="A66" s="23" t="str">
        <x:v>L1_ЛП2_F2/Кр-4/7</x:v>
      </x:c>
      <x:c r="B66" s="23" t="str">
        <x:v>F2</x:v>
      </x:c>
      <x:c r="C66" s="23" t="str">
        <x:v>ЛП2</x:v>
      </x:c>
      <x:c r="D66" s="23" t="str">
        <x:v>7</x:v>
      </x:c>
      <x:c r="E66" s="23" t="str">
        <x:v>∅10 А500С; L=1830 мм; ГОСТ 34028-2016</x:v>
      </x:c>
      <x:c r="F66" s="23" t="str">
        <x:v>шт</x:v>
      </x:c>
      <x:c r="G66" s="26" t="n">
        <x:f>'03_Спец_РД'!H106</x:f>
        <x:v>1</x:v>
      </x:c>
      <x:c r="H66" s="26" t="n">
        <x:f>'02_Экземпляры'!F12</x:f>
        <x:v>1</x:v>
      </x:c>
      <x:c r="I66" s="26" t="n">
        <x:f>'03_Спец_РД'!H79</x:f>
        <x:v>7</x:v>
      </x:c>
      <x:c r="J66" s="26" t="n">
        <x:f>G66*H66*I66</x:f>
        <x:v>7</x:v>
      </x:c>
      <x:c r="K66" s="26" t="n">
        <x:f>IF('03_Спец_РД'!I106="","",'03_Спец_РД'!I106)</x:f>
        <x:v>1.13</x:v>
      </x:c>
      <x:c r="L66" s="26" t="n">
        <x:f>IF(K66="","",J66*K66)</x:f>
        <x:v>7.909999999999999</x:v>
      </x:c>
      <x:c r="M66" s="23" t="str">
        <x:v>Арматура</x:v>
      </x:c>
      <x:c r="N66" s="23" t="str">
        <x:v>АС.2 л.65; PDF 75</x:v>
      </x:c>
      <x:c r="O66" s="23" t="str">
        <x:v>S65_Кр-4_7</x:v>
      </x:c>
      <x:c r="P66" s="23" t="str">
        <x:v>Детали каркаса раскрыты, сборочная масса отдельно не суммируется.</x:v>
      </x:c>
      <x:c r="Q66" s="26" t="n">
        <x:f>IF('03_Спец_РД'!N106="","",'03_Спец_РД'!N106)</x:f>
        <x:v>1830</x:v>
      </x:c>
      <x:c r="R66" s="26" t="n">
        <x:f>IF(F66="м",J66,IF(Q66="","",J66*Q66/1000))</x:f>
        <x:v>12.81</x:v>
      </x:c>
    </x:row>
    <x:row r="67" ht="54" customHeight="1">
      <x:c r="A67" s="23" t="str">
        <x:v>L1_ЛП2_F2/Кр-4/6</x:v>
      </x:c>
      <x:c r="B67" s="23" t="str">
        <x:v>F2</x:v>
      </x:c>
      <x:c r="C67" s="23" t="str">
        <x:v>ЛП2</x:v>
      </x:c>
      <x:c r="D67" s="23" t="str">
        <x:v>6</x:v>
      </x:c>
      <x:c r="E67" s="23" t="str">
        <x:v>∅10 А500С; L=1750 мм; ГОСТ 34028-2016</x:v>
      </x:c>
      <x:c r="F67" s="23" t="str">
        <x:v>шт</x:v>
      </x:c>
      <x:c r="G67" s="26" t="n">
        <x:f>'03_Спец_РД'!H107</x:f>
        <x:v>1</x:v>
      </x:c>
      <x:c r="H67" s="26" t="n">
        <x:f>'02_Экземпляры'!F12</x:f>
        <x:v>1</x:v>
      </x:c>
      <x:c r="I67" s="26" t="n">
        <x:f>'03_Спец_РД'!H79</x:f>
        <x:v>7</x:v>
      </x:c>
      <x:c r="J67" s="26" t="n">
        <x:f>G67*H67*I67</x:f>
        <x:v>7</x:v>
      </x:c>
      <x:c r="K67" s="26" t="n">
        <x:f>IF('03_Спец_РД'!I107="","",'03_Спец_РД'!I107)</x:f>
        <x:v>1.08</x:v>
      </x:c>
      <x:c r="L67" s="26" t="n">
        <x:f>IF(K67="","",J67*K67)</x:f>
        <x:v>7.5600000000000005</x:v>
      </x:c>
      <x:c r="M67" s="23" t="str">
        <x:v>Арматура</x:v>
      </x:c>
      <x:c r="N67" s="23" t="str">
        <x:v>АС.2 л.65; PDF 75</x:v>
      </x:c>
      <x:c r="O67" s="23" t="str">
        <x:v>S65_Кр-4_6</x:v>
      </x:c>
      <x:c r="P67" s="23" t="str">
        <x:v>Детали каркаса раскрыты, сборочная масса отдельно не суммируется.</x:v>
      </x:c>
      <x:c r="Q67" s="26" t="n">
        <x:f>IF('03_Спец_РД'!N107="","",'03_Спец_РД'!N107)</x:f>
        <x:v>1750</x:v>
      </x:c>
      <x:c r="R67" s="26" t="n">
        <x:f>IF(F67="м",J67,IF(Q67="","",J67*Q67/1000))</x:f>
        <x:v>12.25</x:v>
      </x:c>
    </x:row>
    <x:row r="68" ht="54" customHeight="1">
      <x:c r="A68" s="23" t="str">
        <x:v>L1_ЛП2_F2/Кр-4/3</x:v>
      </x:c>
      <x:c r="B68" s="23" t="str">
        <x:v>F2</x:v>
      </x:c>
      <x:c r="C68" s="23" t="str">
        <x:v>ЛП2</x:v>
      </x:c>
      <x:c r="D68" s="23" t="str">
        <x:v>3</x:v>
      </x:c>
      <x:c r="E68" s="23" t="str">
        <x:v>∅10 А500С; L=130 мм; ГОСТ 34028-2016</x:v>
      </x:c>
      <x:c r="F68" s="23" t="str">
        <x:v>шт</x:v>
      </x:c>
      <x:c r="G68" s="26" t="n">
        <x:f>'03_Спец_РД'!H108</x:f>
        <x:v>9</x:v>
      </x:c>
      <x:c r="H68" s="26" t="n">
        <x:f>'02_Экземпляры'!F12</x:f>
        <x:v>1</x:v>
      </x:c>
      <x:c r="I68" s="26" t="n">
        <x:f>'03_Спец_РД'!H79</x:f>
        <x:v>7</x:v>
      </x:c>
      <x:c r="J68" s="26" t="n">
        <x:f>G68*H68*I68</x:f>
        <x:v>63</x:v>
      </x:c>
      <x:c r="K68" s="26" t="n">
        <x:f>IF('03_Спец_РД'!I108="","",'03_Спец_РД'!I108)</x:f>
        <x:v>0.08</x:v>
      </x:c>
      <x:c r="L68" s="26" t="n">
        <x:f>IF(K68="","",J68*K68)</x:f>
        <x:v>5.04</x:v>
      </x:c>
      <x:c r="M68" s="23" t="str">
        <x:v>Арматура</x:v>
      </x:c>
      <x:c r="N68" s="23" t="str">
        <x:v>АС.2 л.65; PDF 75</x:v>
      </x:c>
      <x:c r="O68" s="23" t="str">
        <x:v>S65_Кр-4_3</x:v>
      </x:c>
      <x:c r="P68" s="23" t="str">
        <x:v>Детали каркаса раскрыты, сборочная масса отдельно не суммируется.</x:v>
      </x:c>
      <x:c r="Q68" s="26" t="n">
        <x:f>IF('03_Спец_РД'!N108="","",'03_Спец_РД'!N108)</x:f>
        <x:v>130</x:v>
      </x:c>
      <x:c r="R68" s="26" t="n">
        <x:f>IF(F68="м",J68,IF(Q68="","",J68*Q68/1000))</x:f>
        <x:v>8.19</x:v>
      </x:c>
    </x:row>
    <x:row r="69" ht="54" customHeight="1">
      <x:c r="A69" s="23" t="str">
        <x:v>L1_ЛП2_F2/П-1</x:v>
      </x:c>
      <x:c r="B69" s="23" t="str">
        <x:v>F2</x:v>
      </x:c>
      <x:c r="C69" s="23" t="str">
        <x:v>ЛП2</x:v>
      </x:c>
      <x:c r="D69" s="23" t="str">
        <x:v>П-1</x:v>
      </x:c>
      <x:c r="E69" s="23" t="str">
        <x:v>∅10 А500С; L=1300 мм; ГОСТ 34028-2016</x:v>
      </x:c>
      <x:c r="F69" s="23" t="str">
        <x:v>шт</x:v>
      </x:c>
      <x:c r="G69" s="26" t="n">
        <x:f>'03_Спец_РД'!H80</x:f>
        <x:v>7</x:v>
      </x:c>
      <x:c r="H69" s="26" t="n">
        <x:f>'02_Экземпляры'!F12</x:f>
        <x:v>1</x:v>
      </x:c>
      <x:c r="I69" s="26" t="n">
        <x:f>1</x:f>
        <x:v>1</x:v>
      </x:c>
      <x:c r="J69" s="26" t="n">
        <x:f>G69*H69*I69</x:f>
        <x:v>7</x:v>
      </x:c>
      <x:c r="K69" s="26" t="n">
        <x:f>IF('03_Спец_РД'!I80="","",'03_Спец_РД'!I80)</x:f>
        <x:v>0.8</x:v>
      </x:c>
      <x:c r="L69" s="26" t="n">
        <x:f>IF(K69="","",J69*K69)</x:f>
        <x:v>5.6000000000000005</x:v>
      </x:c>
      <x:c r="M69" s="23" t="str">
        <x:v>Арматура</x:v>
      </x:c>
      <x:c r="N69" s="23" t="str">
        <x:v>АС.2 л.61; PDF 71</x:v>
      </x:c>
      <x:c r="O69" s="23" t="str">
        <x:v>S61_ЛП2_П-1</x:v>
      </x:c>
      <x:c r="P69" s="23" t="str"/>
      <x:c r="Q69" s="26" t="n">
        <x:f>IF('03_Спец_РД'!N80="","",'03_Спец_РД'!N80)</x:f>
        <x:v>1300</x:v>
      </x:c>
      <x:c r="R69" s="26" t="n">
        <x:f>IF(F69="м",J69,IF(Q69="","",J69*Q69/1000))</x:f>
        <x:v>9.1</x:v>
      </x:c>
    </x:row>
    <x:row r="70" ht="54" customHeight="1">
      <x:c r="A70" s="23" t="str">
        <x:v>L1_ЛП2_F2/П-2</x:v>
      </x:c>
      <x:c r="B70" s="23" t="str">
        <x:v>F2</x:v>
      </x:c>
      <x:c r="C70" s="23" t="str">
        <x:v>ЛП2</x:v>
      </x:c>
      <x:c r="D70" s="23" t="str">
        <x:v>П-2</x:v>
      </x:c>
      <x:c r="E70" s="23" t="str">
        <x:v>∅10 А500С; L=1080 мм; ГОСТ 34028-2016</x:v>
      </x:c>
      <x:c r="F70" s="23" t="str">
        <x:v>шт</x:v>
      </x:c>
      <x:c r="G70" s="26" t="n">
        <x:f>'03_Спец_РД'!H81</x:f>
        <x:v>7</x:v>
      </x:c>
      <x:c r="H70" s="26" t="n">
        <x:f>'02_Экземпляры'!F12</x:f>
        <x:v>1</x:v>
      </x:c>
      <x:c r="I70" s="26" t="n">
        <x:f>1</x:f>
        <x:v>1</x:v>
      </x:c>
      <x:c r="J70" s="26" t="n">
        <x:f>G70*H70*I70</x:f>
        <x:v>7</x:v>
      </x:c>
      <x:c r="K70" s="26" t="n">
        <x:f>IF('03_Спец_РД'!I81="","",'03_Спец_РД'!I81)</x:f>
        <x:v>0.67</x:v>
      </x:c>
      <x:c r="L70" s="26" t="n">
        <x:f>IF(K70="","",J70*K70)</x:f>
        <x:v>4.69</x:v>
      </x:c>
      <x:c r="M70" s="23" t="str">
        <x:v>Арматура</x:v>
      </x:c>
      <x:c r="N70" s="23" t="str">
        <x:v>АС.2 л.61; PDF 71</x:v>
      </x:c>
      <x:c r="O70" s="23" t="str">
        <x:v>S61_ЛП2_П-2</x:v>
      </x:c>
      <x:c r="P70" s="23" t="str"/>
      <x:c r="Q70" s="26" t="n">
        <x:f>IF('03_Спец_РД'!N81="","",'03_Спец_РД'!N81)</x:f>
        <x:v>1080</x:v>
      </x:c>
      <x:c r="R70" s="26" t="n">
        <x:f>IF(F70="м",J70,IF(Q70="","",J70*Q70/1000))</x:f>
        <x:v>7.56</x:v>
      </x:c>
    </x:row>
    <x:row r="71" ht="54" customHeight="1">
      <x:c r="A71" s="23" t="str">
        <x:v>L1_ЛП2_F2/Профлист</x:v>
      </x:c>
      <x:c r="B71" s="23" t="str">
        <x:v>F2</x:v>
      </x:c>
      <x:c r="C71" s="23" t="str">
        <x:v>ЛП2</x:v>
      </x:c>
      <x:c r="D71" s="23" t="str">
        <x:v>Профлист</x:v>
      </x:c>
      <x:c r="E71" s="23" t="str">
        <x:v>Профлист Н75-750-0,8; ГОСТ 24045-2016</x:v>
      </x:c>
      <x:c r="F71" s="23" t="str">
        <x:v>м²</x:v>
      </x:c>
      <x:c r="G71" s="26" t="n">
        <x:f>'03_Спец_РД'!H82</x:f>
        <x:v>6.6</x:v>
      </x:c>
      <x:c r="H71" s="26" t="n">
        <x:f>'02_Экземпляры'!F12</x:f>
        <x:v>1</x:v>
      </x:c>
      <x:c r="I71" s="26" t="n">
        <x:f>1</x:f>
        <x:v>1</x:v>
      </x:c>
      <x:c r="J71" s="26" t="n">
        <x:f>G71*H71*I71</x:f>
        <x:v>6.6</x:v>
      </x:c>
      <x:c r="K71" s="26" t="str">
        <x:f>IF('03_Спец_РД'!I82="","",'03_Спец_РД'!I82)</x:f>
      </x:c>
      <x:c r="L71" s="26" t="str">
        <x:f>IF(K71="","",J71*K71)</x:f>
      </x:c>
      <x:c r="M71" s="23" t="str">
        <x:v>Профлист</x:v>
      </x:c>
      <x:c r="N71" s="23" t="str">
        <x:v>АС.2 л.61; PDF 71</x:v>
      </x:c>
      <x:c r="O71" s="23" t="str">
        <x:v>S61_ЛП2_Профлист</x:v>
      </x:c>
      <x:c r="P71" s="23" t="str">
        <x:v>Количество по РД; не пересчитывалось по горизонтальной проекции площадки.</x:v>
      </x:c>
      <x:c r="Q71" s="26" t="str">
        <x:f>IF('03_Спец_РД'!N82="","",'03_Спец_РД'!N82)</x:f>
      </x:c>
      <x:c r="R71" s="26" t="str">
        <x:f>IF(F71="м",J71,IF(Q71="","",J71*Q71/1000))</x:f>
      </x:c>
    </x:row>
    <x:row r="72" ht="54" customHeight="1">
      <x:c r="A72" s="23" t="str">
        <x:v>L1_ЛП2_F2/Бетон</x:v>
      </x:c>
      <x:c r="B72" s="23" t="str">
        <x:v>F2</x:v>
      </x:c>
      <x:c r="C72" s="23" t="str">
        <x:v>ЛП2</x:v>
      </x:c>
      <x:c r="D72" s="23" t="str">
        <x:v>Бетон</x:v>
      </x:c>
      <x:c r="E72" s="23" t="str">
        <x:v>Тяжёлый бетон В25; ГОСТ 26633-2015</x:v>
      </x:c>
      <x:c r="F72" s="23" t="str">
        <x:v>м³</x:v>
      </x:c>
      <x:c r="G72" s="26" t="n">
        <x:f>'03_Спец_РД'!H83</x:f>
        <x:v>0.9</x:v>
      </x:c>
      <x:c r="H72" s="26" t="n">
        <x:f>'02_Экземпляры'!F12</x:f>
        <x:v>1</x:v>
      </x:c>
      <x:c r="I72" s="26" t="n">
        <x:f>1</x:f>
        <x:v>1</x:v>
      </x:c>
      <x:c r="J72" s="26" t="n">
        <x:f>G72*H72*I72</x:f>
        <x:v>0.9</x:v>
      </x:c>
      <x:c r="K72" s="26" t="str">
        <x:f>IF('03_Спец_РД'!I83="","",'03_Спец_РД'!I83)</x:f>
      </x:c>
      <x:c r="L72" s="26" t="str">
        <x:f>IF(K72="","",J72*K72)</x:f>
      </x:c>
      <x:c r="M72" s="23" t="str">
        <x:v>Бетон В25</x:v>
      </x:c>
      <x:c r="N72" s="23" t="str">
        <x:v>АС.2 л.61; PDF 71</x:v>
      </x:c>
      <x:c r="O72" s="23" t="str">
        <x:v>S61_ЛП2_Бетон</x:v>
      </x:c>
      <x:c r="P72" s="23" t="str"/>
      <x:c r="Q72" s="26" t="str">
        <x:f>IF('03_Спец_РД'!N83="","",'03_Спец_РД'!N83)</x:f>
      </x:c>
      <x:c r="R72" s="26" t="str">
        <x:f>IF(F72="м",J72,IF(Q72="","",J72*Q72/1000))</x:f>
      </x:c>
    </x:row>
    <x:row r="73" ht="54" customHeight="1">
      <x:c r="A73" s="23" t="str">
        <x:v>L1_ЛП3_F3/1</x:v>
      </x:c>
      <x:c r="B73" s="23" t="str">
        <x:v>F3</x:v>
      </x:c>
      <x:c r="C73" s="23" t="str">
        <x:v>ЛП3</x:v>
      </x:c>
      <x:c r="D73" s="23" t="str">
        <x:v>1</x:v>
      </x:c>
      <x:c r="E73" s="23" t="str">
        <x:v>∅10 А500С; L=2550 мм; ГОСТ 34028-2016</x:v>
      </x:c>
      <x:c r="F73" s="23" t="str">
        <x:v>шт</x:v>
      </x:c>
      <x:c r="G73" s="26" t="n">
        <x:f>'03_Спец_РД'!H84</x:f>
        <x:v>7</x:v>
      </x:c>
      <x:c r="H73" s="26" t="n">
        <x:f>'02_Экземпляры'!F13</x:f>
        <x:v>1</x:v>
      </x:c>
      <x:c r="I73" s="26" t="n">
        <x:f>1</x:f>
        <x:v>1</x:v>
      </x:c>
      <x:c r="J73" s="26" t="n">
        <x:f>G73*H73*I73</x:f>
        <x:v>7</x:v>
      </x:c>
      <x:c r="K73" s="26" t="n">
        <x:f>IF('03_Спец_РД'!I84="","",'03_Спец_РД'!I84)</x:f>
        <x:v>1.57</x:v>
      </x:c>
      <x:c r="L73" s="26" t="n">
        <x:f>IF(K73="","",J73*K73)</x:f>
        <x:v>10.99</x:v>
      </x:c>
      <x:c r="M73" s="23" t="str">
        <x:v>Арматура</x:v>
      </x:c>
      <x:c r="N73" s="23" t="str">
        <x:v>АС.2 л.62; PDF 72</x:v>
      </x:c>
      <x:c r="O73" s="23" t="str">
        <x:v>S62_ЛП3_1</x:v>
      </x:c>
      <x:c r="P73" s="23" t="str"/>
      <x:c r="Q73" s="26" t="n">
        <x:f>IF('03_Спец_РД'!N84="","",'03_Спец_РД'!N84)</x:f>
        <x:v>2550</x:v>
      </x:c>
      <x:c r="R73" s="26" t="n">
        <x:f>IF(F73="м",J73,IF(Q73="","",J73*Q73/1000))</x:f>
        <x:v>17.85</x:v>
      </x:c>
    </x:row>
    <x:row r="74" ht="54" customHeight="1">
      <x:c r="A74" s="23" t="str">
        <x:v>L1_ЛП3_F3/2</x:v>
      </x:c>
      <x:c r="B74" s="23" t="str">
        <x:v>F3</x:v>
      </x:c>
      <x:c r="C74" s="23" t="str">
        <x:v>ЛП3</x:v>
      </x:c>
      <x:c r="D74" s="23" t="str">
        <x:v>2</x:v>
      </x:c>
      <x:c r="E74" s="23" t="str">
        <x:v>∅10 А500С; L=1180 мм; ГОСТ 34028-2016</x:v>
      </x:c>
      <x:c r="F74" s="23" t="str">
        <x:v>шт</x:v>
      </x:c>
      <x:c r="G74" s="26" t="n">
        <x:f>'03_Спец_РД'!H85</x:f>
        <x:v>1</x:v>
      </x:c>
      <x:c r="H74" s="26" t="n">
        <x:f>'02_Экземпляры'!F13</x:f>
        <x:v>1</x:v>
      </x:c>
      <x:c r="I74" s="26" t="n">
        <x:f>1</x:f>
        <x:v>1</x:v>
      </x:c>
      <x:c r="J74" s="26" t="n">
        <x:f>G74*H74*I74</x:f>
        <x:v>1</x:v>
      </x:c>
      <x:c r="K74" s="26" t="n">
        <x:f>IF('03_Спец_РД'!I85="","",'03_Спец_РД'!I85)</x:f>
        <x:v>0.73</x:v>
      </x:c>
      <x:c r="L74" s="26" t="n">
        <x:f>IF(K74="","",J74*K74)</x:f>
        <x:v>0.73</x:v>
      </x:c>
      <x:c r="M74" s="23" t="str">
        <x:v>Арматура</x:v>
      </x:c>
      <x:c r="N74" s="23" t="str">
        <x:v>АС.2 л.62; PDF 72</x:v>
      </x:c>
      <x:c r="O74" s="23" t="str">
        <x:v>S62_ЛП3_2</x:v>
      </x:c>
      <x:c r="P74" s="23" t="str"/>
      <x:c r="Q74" s="26" t="n">
        <x:f>IF('03_Спец_РД'!N85="","",'03_Спец_РД'!N85)</x:f>
        <x:v>1180</x:v>
      </x:c>
      <x:c r="R74" s="26" t="n">
        <x:f>IF(F74="м",J74,IF(Q74="","",J74*Q74/1000))</x:f>
        <x:v>1.18</x:v>
      </x:c>
    </x:row>
    <x:row r="75" ht="54" customHeight="1">
      <x:c r="A75" s="23" t="str">
        <x:v>L1_ЛП3_F3/Кр-5/8</x:v>
      </x:c>
      <x:c r="B75" s="23" t="str">
        <x:v>F3</x:v>
      </x:c>
      <x:c r="C75" s="23" t="str">
        <x:v>ЛП3</x:v>
      </x:c>
      <x:c r="D75" s="23" t="str">
        <x:v>8</x:v>
      </x:c>
      <x:c r="E75" s="23" t="str">
        <x:v>∅10 А500С; L=1350 мм; ГОСТ 34028-2016</x:v>
      </x:c>
      <x:c r="F75" s="23" t="str">
        <x:v>шт</x:v>
      </x:c>
      <x:c r="G75" s="26" t="n">
        <x:f>'03_Спец_РД'!H109</x:f>
        <x:v>1</x:v>
      </x:c>
      <x:c r="H75" s="26" t="n">
        <x:f>'02_Экземпляры'!F13</x:f>
        <x:v>1</x:v>
      </x:c>
      <x:c r="I75" s="26" t="n">
        <x:f>'03_Спец_РД'!H86</x:f>
        <x:v>7</x:v>
      </x:c>
      <x:c r="J75" s="26" t="n">
        <x:f>G75*H75*I75</x:f>
        <x:v>7</x:v>
      </x:c>
      <x:c r="K75" s="26" t="n">
        <x:f>IF('03_Спец_РД'!I109="","",'03_Спец_РД'!I109)</x:f>
        <x:v>0.83</x:v>
      </x:c>
      <x:c r="L75" s="26" t="n">
        <x:f>IF(K75="","",J75*K75)</x:f>
        <x:v>5.81</x:v>
      </x:c>
      <x:c r="M75" s="23" t="str">
        <x:v>Арматура</x:v>
      </x:c>
      <x:c r="N75" s="23" t="str">
        <x:v>АС.2 л.65; PDF 75</x:v>
      </x:c>
      <x:c r="O75" s="23" t="str">
        <x:v>S65_Кр-5_8</x:v>
      </x:c>
      <x:c r="P75" s="23" t="str">
        <x:v>Детали каркаса раскрыты, сборочная масса отдельно не суммируется.</x:v>
      </x:c>
      <x:c r="Q75" s="26" t="n">
        <x:f>IF('03_Спец_РД'!N109="","",'03_Спец_РД'!N109)</x:f>
        <x:v>1350</x:v>
      </x:c>
      <x:c r="R75" s="26" t="n">
        <x:f>IF(F75="м",J75,IF(Q75="","",J75*Q75/1000))</x:f>
        <x:v>9.45</x:v>
      </x:c>
    </x:row>
    <x:row r="76" ht="54" customHeight="1">
      <x:c r="A76" s="23" t="str">
        <x:v>L1_ЛП3_F3/Кр-5/9</x:v>
      </x:c>
      <x:c r="B76" s="23" t="str">
        <x:v>F3</x:v>
      </x:c>
      <x:c r="C76" s="23" t="str">
        <x:v>ЛП3</x:v>
      </x:c>
      <x:c r="D76" s="23" t="str">
        <x:v>9</x:v>
      </x:c>
      <x:c r="E76" s="23" t="str">
        <x:v>∅10 А500С; L=1150 мм; ГОСТ 34028-2016</x:v>
      </x:c>
      <x:c r="F76" s="23" t="str">
        <x:v>шт</x:v>
      </x:c>
      <x:c r="G76" s="26" t="n">
        <x:f>'03_Спец_РД'!H110</x:f>
        <x:v>1</x:v>
      </x:c>
      <x:c r="H76" s="26" t="n">
        <x:f>'02_Экземпляры'!F13</x:f>
        <x:v>1</x:v>
      </x:c>
      <x:c r="I76" s="26" t="n">
        <x:f>'03_Спец_РД'!H86</x:f>
        <x:v>7</x:v>
      </x:c>
      <x:c r="J76" s="26" t="n">
        <x:f>G76*H76*I76</x:f>
        <x:v>7</x:v>
      </x:c>
      <x:c r="K76" s="26" t="n">
        <x:f>IF('03_Спец_РД'!I110="","",'03_Спец_РД'!I110)</x:f>
        <x:v>0.71</x:v>
      </x:c>
      <x:c r="L76" s="26" t="n">
        <x:f>IF(K76="","",J76*K76)</x:f>
        <x:v>4.97</x:v>
      </x:c>
      <x:c r="M76" s="23" t="str">
        <x:v>Арматура</x:v>
      </x:c>
      <x:c r="N76" s="23" t="str">
        <x:v>АС.2 л.65; PDF 75</x:v>
      </x:c>
      <x:c r="O76" s="23" t="str">
        <x:v>S65_Кр-5_9</x:v>
      </x:c>
      <x:c r="P76" s="23" t="str">
        <x:v>Детали каркаса раскрыты, сборочная масса отдельно не суммируется.</x:v>
      </x:c>
      <x:c r="Q76" s="26" t="n">
        <x:f>IF('03_Спец_РД'!N110="","",'03_Спец_РД'!N110)</x:f>
        <x:v>1150</x:v>
      </x:c>
      <x:c r="R76" s="26" t="n">
        <x:f>IF(F76="м",J76,IF(Q76="","",J76*Q76/1000))</x:f>
        <x:v>8.05</x:v>
      </x:c>
    </x:row>
    <x:row r="77" ht="54" customHeight="1">
      <x:c r="A77" s="23" t="str">
        <x:v>L1_ЛП3_F3/Кр-5/3</x:v>
      </x:c>
      <x:c r="B77" s="23" t="str">
        <x:v>F3</x:v>
      </x:c>
      <x:c r="C77" s="23" t="str">
        <x:v>ЛП3</x:v>
      </x:c>
      <x:c r="D77" s="23" t="str">
        <x:v>3</x:v>
      </x:c>
      <x:c r="E77" s="23" t="str">
        <x:v>∅10 А500С; L=130 мм; ГОСТ 34028-2016</x:v>
      </x:c>
      <x:c r="F77" s="23" t="str">
        <x:v>шт</x:v>
      </x:c>
      <x:c r="G77" s="26" t="n">
        <x:f>'03_Спец_РД'!H111</x:f>
        <x:v>6</x:v>
      </x:c>
      <x:c r="H77" s="26" t="n">
        <x:f>'02_Экземпляры'!F13</x:f>
        <x:v>1</x:v>
      </x:c>
      <x:c r="I77" s="26" t="n">
        <x:f>'03_Спец_РД'!H86</x:f>
        <x:v>7</x:v>
      </x:c>
      <x:c r="J77" s="26" t="n">
        <x:f>G77*H77*I77</x:f>
        <x:v>42</x:v>
      </x:c>
      <x:c r="K77" s="26" t="n">
        <x:f>IF('03_Спец_РД'!I111="","",'03_Спец_РД'!I111)</x:f>
        <x:v>0.08</x:v>
      </x:c>
      <x:c r="L77" s="26" t="n">
        <x:f>IF(K77="","",J77*K77)</x:f>
        <x:v>3.36</x:v>
      </x:c>
      <x:c r="M77" s="23" t="str">
        <x:v>Арматура</x:v>
      </x:c>
      <x:c r="N77" s="23" t="str">
        <x:v>АС.2 л.65; PDF 75</x:v>
      </x:c>
      <x:c r="O77" s="23" t="str">
        <x:v>S65_Кр-5_3</x:v>
      </x:c>
      <x:c r="P77" s="23" t="str">
        <x:v>Детали каркаса раскрыты, сборочная масса отдельно не суммируется.</x:v>
      </x:c>
      <x:c r="Q77" s="26" t="n">
        <x:f>IF('03_Спец_РД'!N111="","",'03_Спец_РД'!N111)</x:f>
        <x:v>130</x:v>
      </x:c>
      <x:c r="R77" s="26" t="n">
        <x:f>IF(F77="м",J77,IF(Q77="","",J77*Q77/1000))</x:f>
        <x:v>5.46</x:v>
      </x:c>
    </x:row>
    <x:row r="78" ht="54" customHeight="1">
      <x:c r="A78" s="23" t="str">
        <x:v>L1_ЛП3_F3/Кр-6/10</x:v>
      </x:c>
      <x:c r="B78" s="23" t="str">
        <x:v>F3</x:v>
      </x:c>
      <x:c r="C78" s="23" t="str">
        <x:v>ЛП3</x:v>
      </x:c>
      <x:c r="D78" s="23" t="str">
        <x:v>10</x:v>
      </x:c>
      <x:c r="E78" s="23" t="str">
        <x:v>∅10 А500С; L=1250 мм; ГОСТ 34028-2016</x:v>
      </x:c>
      <x:c r="F78" s="23" t="str">
        <x:v>шт</x:v>
      </x:c>
      <x:c r="G78" s="26" t="n">
        <x:f>'03_Спец_РД'!H112</x:f>
        <x:v>1</x:v>
      </x:c>
      <x:c r="H78" s="26" t="n">
        <x:f>'02_Экземпляры'!F13</x:f>
        <x:v>1</x:v>
      </x:c>
      <x:c r="I78" s="26" t="n">
        <x:f>'03_Спец_РД'!H87</x:f>
        <x:v>7</x:v>
      </x:c>
      <x:c r="J78" s="26" t="n">
        <x:f>G78*H78*I78</x:f>
        <x:v>7</x:v>
      </x:c>
      <x:c r="K78" s="26" t="n">
        <x:f>IF('03_Спец_РД'!I112="","",'03_Спец_РД'!I112)</x:f>
        <x:v>0.77</x:v>
      </x:c>
      <x:c r="L78" s="26" t="n">
        <x:f>IF(K78="","",J78*K78)</x:f>
        <x:v>5.390000000000001</x:v>
      </x:c>
      <x:c r="M78" s="23" t="str">
        <x:v>Арматура</x:v>
      </x:c>
      <x:c r="N78" s="23" t="str">
        <x:v>АС.2 л.65; PDF 75</x:v>
      </x:c>
      <x:c r="O78" s="23" t="str">
        <x:v>S65_Кр-6_10</x:v>
      </x:c>
      <x:c r="P78" s="23" t="str">
        <x:v>Детали каркаса раскрыты, сборочная масса отдельно не суммируется.</x:v>
      </x:c>
      <x:c r="Q78" s="26" t="n">
        <x:f>IF('03_Спец_РД'!N112="","",'03_Спец_РД'!N112)</x:f>
        <x:v>1250</x:v>
      </x:c>
      <x:c r="R78" s="26" t="n">
        <x:f>IF(F78="м",J78,IF(Q78="","",J78*Q78/1000))</x:f>
        <x:v>8.75</x:v>
      </x:c>
    </x:row>
    <x:row r="79" ht="54" customHeight="1">
      <x:c r="A79" s="23" t="str">
        <x:v>L1_ЛП3_F3/Кр-6/9</x:v>
      </x:c>
      <x:c r="B79" s="23" t="str">
        <x:v>F3</x:v>
      </x:c>
      <x:c r="C79" s="23" t="str">
        <x:v>ЛП3</x:v>
      </x:c>
      <x:c r="D79" s="23" t="str">
        <x:v>9</x:v>
      </x:c>
      <x:c r="E79" s="23" t="str">
        <x:v>∅10 А500С; L=1150 мм; ГОСТ 34028-2016</x:v>
      </x:c>
      <x:c r="F79" s="23" t="str">
        <x:v>шт</x:v>
      </x:c>
      <x:c r="G79" s="26" t="n">
        <x:f>'03_Спец_РД'!H113</x:f>
        <x:v>1</x:v>
      </x:c>
      <x:c r="H79" s="26" t="n">
        <x:f>'02_Экземпляры'!F13</x:f>
        <x:v>1</x:v>
      </x:c>
      <x:c r="I79" s="26" t="n">
        <x:f>'03_Спец_РД'!H87</x:f>
        <x:v>7</x:v>
      </x:c>
      <x:c r="J79" s="26" t="n">
        <x:f>G79*H79*I79</x:f>
        <x:v>7</x:v>
      </x:c>
      <x:c r="K79" s="26" t="n">
        <x:f>IF('03_Спец_РД'!I113="","",'03_Спец_РД'!I113)</x:f>
        <x:v>0.71</x:v>
      </x:c>
      <x:c r="L79" s="26" t="n">
        <x:f>IF(K79="","",J79*K79)</x:f>
        <x:v>4.97</x:v>
      </x:c>
      <x:c r="M79" s="23" t="str">
        <x:v>Арматура</x:v>
      </x:c>
      <x:c r="N79" s="23" t="str">
        <x:v>АС.2 л.65; PDF 75</x:v>
      </x:c>
      <x:c r="O79" s="23" t="str">
        <x:v>S65_Кр-6_9</x:v>
      </x:c>
      <x:c r="P79" s="23" t="str">
        <x:v>Детали каркаса раскрыты, сборочная масса отдельно не суммируется.</x:v>
      </x:c>
      <x:c r="Q79" s="26" t="n">
        <x:f>IF('03_Спец_РД'!N113="","",'03_Спец_РД'!N113)</x:f>
        <x:v>1150</x:v>
      </x:c>
      <x:c r="R79" s="26" t="n">
        <x:f>IF(F79="м",J79,IF(Q79="","",J79*Q79/1000))</x:f>
        <x:v>8.05</x:v>
      </x:c>
    </x:row>
    <x:row r="80" ht="54" customHeight="1">
      <x:c r="A80" s="23" t="str">
        <x:v>L1_ЛП3_F3/Кр-6/3</x:v>
      </x:c>
      <x:c r="B80" s="23" t="str">
        <x:v>F3</x:v>
      </x:c>
      <x:c r="C80" s="23" t="str">
        <x:v>ЛП3</x:v>
      </x:c>
      <x:c r="D80" s="23" t="str">
        <x:v>3</x:v>
      </x:c>
      <x:c r="E80" s="23" t="str">
        <x:v>∅10 А500С; L=130 мм; ГОСТ 34028-2016</x:v>
      </x:c>
      <x:c r="F80" s="23" t="str">
        <x:v>шт</x:v>
      </x:c>
      <x:c r="G80" s="26" t="n">
        <x:f>'03_Спец_РД'!H114</x:f>
        <x:v>6</x:v>
      </x:c>
      <x:c r="H80" s="26" t="n">
        <x:f>'02_Экземпляры'!F13</x:f>
        <x:v>1</x:v>
      </x:c>
      <x:c r="I80" s="26" t="n">
        <x:f>'03_Спец_РД'!H87</x:f>
        <x:v>7</x:v>
      </x:c>
      <x:c r="J80" s="26" t="n">
        <x:f>G80*H80*I80</x:f>
        <x:v>42</x:v>
      </x:c>
      <x:c r="K80" s="26" t="n">
        <x:f>IF('03_Спец_РД'!I114="","",'03_Спец_РД'!I114)</x:f>
        <x:v>0.08</x:v>
      </x:c>
      <x:c r="L80" s="26" t="n">
        <x:f>IF(K80="","",J80*K80)</x:f>
        <x:v>3.36</x:v>
      </x:c>
      <x:c r="M80" s="23" t="str">
        <x:v>Арматура</x:v>
      </x:c>
      <x:c r="N80" s="23" t="str">
        <x:v>АС.2 л.65; PDF 75</x:v>
      </x:c>
      <x:c r="O80" s="23" t="str">
        <x:v>S65_Кр-6_3</x:v>
      </x:c>
      <x:c r="P80" s="23" t="str">
        <x:v>Детали каркаса раскрыты, сборочная масса отдельно не суммируется.</x:v>
      </x:c>
      <x:c r="Q80" s="26" t="n">
        <x:f>IF('03_Спец_РД'!N114="","",'03_Спец_РД'!N114)</x:f>
        <x:v>130</x:v>
      </x:c>
      <x:c r="R80" s="26" t="n">
        <x:f>IF(F80="м",J80,IF(Q80="","",J80*Q80/1000))</x:f>
        <x:v>5.46</x:v>
      </x:c>
    </x:row>
    <x:row r="81" ht="54" customHeight="1">
      <x:c r="A81" s="23" t="str">
        <x:v>L1_ЛП3_F3/П-1</x:v>
      </x:c>
      <x:c r="B81" s="23" t="str">
        <x:v>F3</x:v>
      </x:c>
      <x:c r="C81" s="23" t="str">
        <x:v>ЛП3</x:v>
      </x:c>
      <x:c r="D81" s="23" t="str">
        <x:v>П-1</x:v>
      </x:c>
      <x:c r="E81" s="23" t="str">
        <x:v>∅10 А500С; L=1300 мм; ГОСТ 34028-2016</x:v>
      </x:c>
      <x:c r="F81" s="23" t="str">
        <x:v>шт</x:v>
      </x:c>
      <x:c r="G81" s="26" t="n">
        <x:f>'03_Спец_РД'!H88</x:f>
        <x:v>7</x:v>
      </x:c>
      <x:c r="H81" s="26" t="n">
        <x:f>'02_Экземпляры'!F13</x:f>
        <x:v>1</x:v>
      </x:c>
      <x:c r="I81" s="26" t="n">
        <x:f>1</x:f>
        <x:v>1</x:v>
      </x:c>
      <x:c r="J81" s="26" t="n">
        <x:f>G81*H81*I81</x:f>
        <x:v>7</x:v>
      </x:c>
      <x:c r="K81" s="26" t="n">
        <x:f>IF('03_Спец_РД'!I88="","",'03_Спец_РД'!I88)</x:f>
        <x:v>0.8</x:v>
      </x:c>
      <x:c r="L81" s="26" t="n">
        <x:f>IF(K81="","",J81*K81)</x:f>
        <x:v>5.6000000000000005</x:v>
      </x:c>
      <x:c r="M81" s="23" t="str">
        <x:v>Арматура</x:v>
      </x:c>
      <x:c r="N81" s="23" t="str">
        <x:v>АС.2 л.62; PDF 72</x:v>
      </x:c>
      <x:c r="O81" s="23" t="str">
        <x:v>S62_ЛП3_П-1</x:v>
      </x:c>
      <x:c r="P81" s="23" t="str"/>
      <x:c r="Q81" s="26" t="n">
        <x:f>IF('03_Спец_РД'!N88="","",'03_Спец_РД'!N88)</x:f>
        <x:v>1300</x:v>
      </x:c>
      <x:c r="R81" s="26" t="n">
        <x:f>IF(F81="м",J81,IF(Q81="","",J81*Q81/1000))</x:f>
        <x:v>9.1</x:v>
      </x:c>
    </x:row>
    <x:row r="82" ht="54" customHeight="1">
      <x:c r="A82" s="23" t="str">
        <x:v>L1_ЛП3_F3/П-2</x:v>
      </x:c>
      <x:c r="B82" s="23" t="str">
        <x:v>F3</x:v>
      </x:c>
      <x:c r="C82" s="23" t="str">
        <x:v>ЛП3</x:v>
      </x:c>
      <x:c r="D82" s="23" t="str">
        <x:v>П-2</x:v>
      </x:c>
      <x:c r="E82" s="23" t="str">
        <x:v>∅10 А500С; L=1080 мм; ГОСТ 34028-2016</x:v>
      </x:c>
      <x:c r="F82" s="23" t="str">
        <x:v>шт</x:v>
      </x:c>
      <x:c r="G82" s="26" t="n">
        <x:f>'03_Спец_РД'!H89</x:f>
        <x:v>7</x:v>
      </x:c>
      <x:c r="H82" s="26" t="n">
        <x:f>'02_Экземпляры'!F13</x:f>
        <x:v>1</x:v>
      </x:c>
      <x:c r="I82" s="26" t="n">
        <x:f>1</x:f>
        <x:v>1</x:v>
      </x:c>
      <x:c r="J82" s="26" t="n">
        <x:f>G82*H82*I82</x:f>
        <x:v>7</x:v>
      </x:c>
      <x:c r="K82" s="26" t="n">
        <x:f>IF('03_Спец_РД'!I89="","",'03_Спец_РД'!I89)</x:f>
        <x:v>0.67</x:v>
      </x:c>
      <x:c r="L82" s="26" t="n">
        <x:f>IF(K82="","",J82*K82)</x:f>
        <x:v>4.69</x:v>
      </x:c>
      <x:c r="M82" s="23" t="str">
        <x:v>Арматура</x:v>
      </x:c>
      <x:c r="N82" s="23" t="str">
        <x:v>АС.2 л.62; PDF 72</x:v>
      </x:c>
      <x:c r="O82" s="23" t="str">
        <x:v>S62_ЛП3_П-2</x:v>
      </x:c>
      <x:c r="P82" s="23" t="str"/>
      <x:c r="Q82" s="26" t="n">
        <x:f>IF('03_Спец_РД'!N89="","",'03_Спец_РД'!N89)</x:f>
        <x:v>1080</x:v>
      </x:c>
      <x:c r="R82" s="26" t="n">
        <x:f>IF(F82="м",J82,IF(Q82="","",J82*Q82/1000))</x:f>
        <x:v>7.56</x:v>
      </x:c>
    </x:row>
    <x:row r="83" ht="54" customHeight="1">
      <x:c r="A83" s="23" t="str">
        <x:v>L1_ЛП3_F3/Профлист</x:v>
      </x:c>
      <x:c r="B83" s="23" t="str">
        <x:v>F3</x:v>
      </x:c>
      <x:c r="C83" s="23" t="str">
        <x:v>ЛП3</x:v>
      </x:c>
      <x:c r="D83" s="23" t="str">
        <x:v>Профлист</x:v>
      </x:c>
      <x:c r="E83" s="23" t="str">
        <x:v>Профлист Н75-750-0,8; ГОСТ 24045-2016</x:v>
      </x:c>
      <x:c r="F83" s="23" t="str">
        <x:v>м²</x:v>
      </x:c>
      <x:c r="G83" s="26" t="n">
        <x:f>'03_Спец_РД'!H90</x:f>
        <x:v>4.7</x:v>
      </x:c>
      <x:c r="H83" s="26" t="n">
        <x:f>'02_Экземпляры'!F13</x:f>
        <x:v>1</x:v>
      </x:c>
      <x:c r="I83" s="26" t="n">
        <x:f>1</x:f>
        <x:v>1</x:v>
      </x:c>
      <x:c r="J83" s="26" t="n">
        <x:f>G83*H83*I83</x:f>
        <x:v>4.7</x:v>
      </x:c>
      <x:c r="K83" s="26" t="str">
        <x:f>IF('03_Спец_РД'!I90="","",'03_Спец_РД'!I90)</x:f>
      </x:c>
      <x:c r="L83" s="26" t="str">
        <x:f>IF(K83="","",J83*K83)</x:f>
      </x:c>
      <x:c r="M83" s="23" t="str">
        <x:v>Профлист</x:v>
      </x:c>
      <x:c r="N83" s="23" t="str">
        <x:v>АС.2 л.62; PDF 72</x:v>
      </x:c>
      <x:c r="O83" s="23" t="str">
        <x:v>S62_ЛП3_Профлист</x:v>
      </x:c>
      <x:c r="P83" s="23" t="str">
        <x:v>Количество по РД; не пересчитывалось по горизонтальной проекции площадки.</x:v>
      </x:c>
      <x:c r="Q83" s="26" t="str">
        <x:f>IF('03_Спец_РД'!N90="","",'03_Спец_РД'!N90)</x:f>
      </x:c>
      <x:c r="R83" s="26" t="str">
        <x:f>IF(F83="м",J83,IF(Q83="","",J83*Q83/1000))</x:f>
      </x:c>
    </x:row>
    <x:row r="84" ht="54" customHeight="1">
      <x:c r="A84" s="23" t="str">
        <x:v>L1_ЛП3_F3/Бетон</x:v>
      </x:c>
      <x:c r="B84" s="23" t="str">
        <x:v>F3</x:v>
      </x:c>
      <x:c r="C84" s="23" t="str">
        <x:v>ЛП3</x:v>
      </x:c>
      <x:c r="D84" s="23" t="str">
        <x:v>Бетон</x:v>
      </x:c>
      <x:c r="E84" s="23" t="str">
        <x:v>Тяжёлый бетон В25; ГОСТ 26633-2015</x:v>
      </x:c>
      <x:c r="F84" s="23" t="str">
        <x:v>м³</x:v>
      </x:c>
      <x:c r="G84" s="26" t="n">
        <x:f>'03_Спец_РД'!H91</x:f>
        <x:v>0.7</x:v>
      </x:c>
      <x:c r="H84" s="26" t="n">
        <x:f>'02_Экземпляры'!F13</x:f>
        <x:v>1</x:v>
      </x:c>
      <x:c r="I84" s="26" t="n">
        <x:f>1</x:f>
        <x:v>1</x:v>
      </x:c>
      <x:c r="J84" s="26" t="n">
        <x:f>G84*H84*I84</x:f>
        <x:v>0.7</x:v>
      </x:c>
      <x:c r="K84" s="26" t="str">
        <x:f>IF('03_Спец_РД'!I91="","",'03_Спец_РД'!I91)</x:f>
      </x:c>
      <x:c r="L84" s="26" t="str">
        <x:f>IF(K84="","",J84*K84)</x:f>
      </x:c>
      <x:c r="M84" s="23" t="str">
        <x:v>Бетон В25</x:v>
      </x:c>
      <x:c r="N84" s="23" t="str">
        <x:v>АС.2 л.62; PDF 72</x:v>
      </x:c>
      <x:c r="O84" s="23" t="str">
        <x:v>S62_ЛП3_Бетон</x:v>
      </x:c>
      <x:c r="P84" s="23" t="str"/>
      <x:c r="Q84" s="26" t="str">
        <x:f>IF('03_Спец_РД'!N91="","",'03_Спец_РД'!N91)</x:f>
      </x:c>
      <x:c r="R84" s="26" t="str">
        <x:f>IF(F84="м",J84,IF(Q84="","",J84*Q84/1000))</x:f>
      </x:c>
    </x:row>
    <x:row r="85" ht="54" customHeight="1">
      <x:c r="A85" s="23" t="str">
        <x:v>L1_ЛП4_F3/1</x:v>
      </x:c>
      <x:c r="B85" s="23" t="str">
        <x:v>F3</x:v>
      </x:c>
      <x:c r="C85" s="23" t="str">
        <x:v>ЛП4</x:v>
      </x:c>
      <x:c r="D85" s="23" t="str">
        <x:v>1</x:v>
      </x:c>
      <x:c r="E85" s="23" t="str">
        <x:v>∅10 А500С; L=2550 мм; ГОСТ 34028-2016</x:v>
      </x:c>
      <x:c r="F85" s="23" t="str">
        <x:v>шт</x:v>
      </x:c>
      <x:c r="G85" s="26" t="n">
        <x:f>'03_Спец_РД'!H92</x:f>
        <x:v>9</x:v>
      </x:c>
      <x:c r="H85" s="26" t="n">
        <x:f>'02_Экземпляры'!F14</x:f>
        <x:v>1</x:v>
      </x:c>
      <x:c r="I85" s="26" t="n">
        <x:f>1</x:f>
        <x:v>1</x:v>
      </x:c>
      <x:c r="J85" s="26" t="n">
        <x:f>G85*H85*I85</x:f>
        <x:v>9</x:v>
      </x:c>
      <x:c r="K85" s="26" t="n">
        <x:f>IF('03_Спец_РД'!I92="","",'03_Спец_РД'!I92)</x:f>
        <x:v>1.57</x:v>
      </x:c>
      <x:c r="L85" s="26" t="n">
        <x:f>IF(K85="","",J85*K85)</x:f>
        <x:v>14.13</x:v>
      </x:c>
      <x:c r="M85" s="23" t="str">
        <x:v>Арматура</x:v>
      </x:c>
      <x:c r="N85" s="23" t="str">
        <x:v>АС.2 л.63; PDF 73</x:v>
      </x:c>
      <x:c r="O85" s="23" t="str">
        <x:v>S63_ЛП4_1</x:v>
      </x:c>
      <x:c r="P85" s="23" t="str"/>
      <x:c r="Q85" s="26" t="n">
        <x:f>IF('03_Спец_РД'!N92="","",'03_Спец_РД'!N92)</x:f>
        <x:v>2550</x:v>
      </x:c>
      <x:c r="R85" s="26" t="n">
        <x:f>IF(F85="м",J85,IF(Q85="","",J85*Q85/1000))</x:f>
        <x:v>22.95</x:v>
      </x:c>
    </x:row>
    <x:row r="86" ht="54" customHeight="1">
      <x:c r="A86" s="23" t="str">
        <x:v>L1_ЛП4_F3/Кр-7/11</x:v>
      </x:c>
      <x:c r="B86" s="23" t="str">
        <x:v>F3</x:v>
      </x:c>
      <x:c r="C86" s="23" t="str">
        <x:v>ЛП4</x:v>
      </x:c>
      <x:c r="D86" s="23" t="str">
        <x:v>11</x:v>
      </x:c>
      <x:c r="E86" s="23" t="str">
        <x:v>∅10 А500С; L=1580 мм; ГОСТ 34028-2016</x:v>
      </x:c>
      <x:c r="F86" s="23" t="str">
        <x:v>шт</x:v>
      </x:c>
      <x:c r="G86" s="26" t="n">
        <x:f>'03_Спец_РД'!H115</x:f>
        <x:v>1</x:v>
      </x:c>
      <x:c r="H86" s="26" t="n">
        <x:f>'02_Экземпляры'!F14</x:f>
        <x:v>1</x:v>
      </x:c>
      <x:c r="I86" s="26" t="n">
        <x:f>'03_Спец_РД'!H93</x:f>
        <x:v>14</x:v>
      </x:c>
      <x:c r="J86" s="26" t="n">
        <x:f>G86*H86*I86</x:f>
        <x:v>14</x:v>
      </x:c>
      <x:c r="K86" s="26" t="n">
        <x:f>IF('03_Спец_РД'!I115="","",'03_Спец_РД'!I115)</x:f>
        <x:v>0.97</x:v>
      </x:c>
      <x:c r="L86" s="26" t="n">
        <x:f>IF(K86="","",J86*K86)</x:f>
        <x:v>13.58</x:v>
      </x:c>
      <x:c r="M86" s="23" t="str">
        <x:v>Арматура</x:v>
      </x:c>
      <x:c r="N86" s="23" t="str">
        <x:v>АС.2 л.65; PDF 75</x:v>
      </x:c>
      <x:c r="O86" s="23" t="str">
        <x:v>S65_Кр-7_11</x:v>
      </x:c>
      <x:c r="P86" s="23" t="str">
        <x:v>Детали каркаса раскрыты, сборочная масса отдельно не суммируется.</x:v>
      </x:c>
      <x:c r="Q86" s="26" t="n">
        <x:f>IF('03_Спец_РД'!N115="","",'03_Спец_РД'!N115)</x:f>
        <x:v>1580</x:v>
      </x:c>
      <x:c r="R86" s="26" t="n">
        <x:f>IF(F86="м",J86,IF(Q86="","",J86*Q86/1000))</x:f>
        <x:v>22.12</x:v>
      </x:c>
    </x:row>
    <x:row r="87" ht="54" customHeight="1">
      <x:c r="A87" s="23" t="str">
        <x:v>L1_ЛП4_F3/Кр-7/12</x:v>
      </x:c>
      <x:c r="B87" s="23" t="str">
        <x:v>F3</x:v>
      </x:c>
      <x:c r="C87" s="23" t="str">
        <x:v>ЛП4</x:v>
      </x:c>
      <x:c r="D87" s="23" t="str">
        <x:v>12</x:v>
      </x:c>
      <x:c r="E87" s="23" t="str">
        <x:v>∅10 А500С; L=1500 мм; ГОСТ 34028-2016</x:v>
      </x:c>
      <x:c r="F87" s="23" t="str">
        <x:v>шт</x:v>
      </x:c>
      <x:c r="G87" s="26" t="n">
        <x:f>'03_Спец_РД'!H116</x:f>
        <x:v>1</x:v>
      </x:c>
      <x:c r="H87" s="26" t="n">
        <x:f>'02_Экземпляры'!F14</x:f>
        <x:v>1</x:v>
      </x:c>
      <x:c r="I87" s="26" t="n">
        <x:f>'03_Спец_РД'!H93</x:f>
        <x:v>14</x:v>
      </x:c>
      <x:c r="J87" s="26" t="n">
        <x:f>G87*H87*I87</x:f>
        <x:v>14</x:v>
      </x:c>
      <x:c r="K87" s="26" t="n">
        <x:f>IF('03_Спец_РД'!I116="","",'03_Спец_РД'!I116)</x:f>
        <x:v>0.93</x:v>
      </x:c>
      <x:c r="L87" s="26" t="n">
        <x:f>IF(K87="","",J87*K87)</x:f>
        <x:v>13.020000000000001</x:v>
      </x:c>
      <x:c r="M87" s="23" t="str">
        <x:v>Арматура</x:v>
      </x:c>
      <x:c r="N87" s="23" t="str">
        <x:v>АС.2 л.65; PDF 75</x:v>
      </x:c>
      <x:c r="O87" s="23" t="str">
        <x:v>S65_Кр-7_12</x:v>
      </x:c>
      <x:c r="P87" s="23" t="str">
        <x:v>Детали каркаса раскрыты, сборочная масса отдельно не суммируется.</x:v>
      </x:c>
      <x:c r="Q87" s="26" t="n">
        <x:f>IF('03_Спец_РД'!N116="","",'03_Спец_РД'!N116)</x:f>
        <x:v>1500</x:v>
      </x:c>
      <x:c r="R87" s="26" t="n">
        <x:f>IF(F87="м",J87,IF(Q87="","",J87*Q87/1000))</x:f>
        <x:v>21</x:v>
      </x:c>
    </x:row>
    <x:row r="88" ht="54" customHeight="1">
      <x:c r="A88" s="23" t="str">
        <x:v>L1_ЛП4_F3/Кр-7/3</x:v>
      </x:c>
      <x:c r="B88" s="23" t="str">
        <x:v>F3</x:v>
      </x:c>
      <x:c r="C88" s="23" t="str">
        <x:v>ЛП4</x:v>
      </x:c>
      <x:c r="D88" s="23" t="str">
        <x:v>3</x:v>
      </x:c>
      <x:c r="E88" s="23" t="str">
        <x:v>∅10 А500С; L=130 мм; ГОСТ 34028-2016</x:v>
      </x:c>
      <x:c r="F88" s="23" t="str">
        <x:v>шт</x:v>
      </x:c>
      <x:c r="G88" s="26" t="n">
        <x:f>'03_Спец_РД'!H117</x:f>
        <x:v>8</x:v>
      </x:c>
      <x:c r="H88" s="26" t="n">
        <x:f>'02_Экземпляры'!F14</x:f>
        <x:v>1</x:v>
      </x:c>
      <x:c r="I88" s="26" t="n">
        <x:f>'03_Спец_РД'!H93</x:f>
        <x:v>14</x:v>
      </x:c>
      <x:c r="J88" s="26" t="n">
        <x:f>G88*H88*I88</x:f>
        <x:v>112</x:v>
      </x:c>
      <x:c r="K88" s="26" t="n">
        <x:f>IF('03_Спец_РД'!I117="","",'03_Спец_РД'!I117)</x:f>
        <x:v>0.08</x:v>
      </x:c>
      <x:c r="L88" s="26" t="n">
        <x:f>IF(K88="","",J88*K88)</x:f>
        <x:v>8.96</x:v>
      </x:c>
      <x:c r="M88" s="23" t="str">
        <x:v>Арматура</x:v>
      </x:c>
      <x:c r="N88" s="23" t="str">
        <x:v>АС.2 л.65; PDF 75</x:v>
      </x:c>
      <x:c r="O88" s="23" t="str">
        <x:v>S65_Кр-7_3</x:v>
      </x:c>
      <x:c r="P88" s="23" t="str">
        <x:v>Детали каркаса раскрыты, сборочная масса отдельно не суммируется.</x:v>
      </x:c>
      <x:c r="Q88" s="26" t="n">
        <x:f>IF('03_Спец_РД'!N117="","",'03_Спец_РД'!N117)</x:f>
        <x:v>130</x:v>
      </x:c>
      <x:c r="R88" s="26" t="n">
        <x:f>IF(F88="м",J88,IF(Q88="","",J88*Q88/1000))</x:f>
        <x:v>14.56</x:v>
      </x:c>
    </x:row>
    <x:row r="89" ht="54" customHeight="1">
      <x:c r="A89" s="23" t="str">
        <x:v>L1_ЛП4_F3/П-2</x:v>
      </x:c>
      <x:c r="B89" s="23" t="str">
        <x:v>F3</x:v>
      </x:c>
      <x:c r="C89" s="23" t="str">
        <x:v>ЛП4</x:v>
      </x:c>
      <x:c r="D89" s="23" t="str">
        <x:v>П-2</x:v>
      </x:c>
      <x:c r="E89" s="23" t="str">
        <x:v>∅10 А500С; L=1080 мм; ГОСТ 34028-2016</x:v>
      </x:c>
      <x:c r="F89" s="23" t="str">
        <x:v>шт</x:v>
      </x:c>
      <x:c r="G89" s="26" t="n">
        <x:f>'03_Спец_РД'!H94</x:f>
        <x:v>14</x:v>
      </x:c>
      <x:c r="H89" s="26" t="n">
        <x:f>'02_Экземпляры'!F14</x:f>
        <x:v>1</x:v>
      </x:c>
      <x:c r="I89" s="26" t="n">
        <x:f>1</x:f>
        <x:v>1</x:v>
      </x:c>
      <x:c r="J89" s="26" t="n">
        <x:f>G89*H89*I89</x:f>
        <x:v>14</x:v>
      </x:c>
      <x:c r="K89" s="26" t="n">
        <x:f>IF('03_Спец_РД'!I94="","",'03_Спец_РД'!I94)</x:f>
        <x:v>0.67</x:v>
      </x:c>
      <x:c r="L89" s="26" t="n">
        <x:f>IF(K89="","",J89*K89)</x:f>
        <x:v>9.38</x:v>
      </x:c>
      <x:c r="M89" s="23" t="str">
        <x:v>Арматура</x:v>
      </x:c>
      <x:c r="N89" s="23" t="str">
        <x:v>АС.2 л.63; PDF 73</x:v>
      </x:c>
      <x:c r="O89" s="23" t="str">
        <x:v>S63_ЛП4_П-2</x:v>
      </x:c>
      <x:c r="P89" s="23" t="str"/>
      <x:c r="Q89" s="26" t="n">
        <x:f>IF('03_Спец_РД'!N94="","",'03_Спец_РД'!N94)</x:f>
        <x:v>1080</x:v>
      </x:c>
      <x:c r="R89" s="26" t="n">
        <x:f>IF(F89="м",J89,IF(Q89="","",J89*Q89/1000))</x:f>
        <x:v>15.12</x:v>
      </x:c>
    </x:row>
    <x:row r="90" ht="54" customHeight="1">
      <x:c r="A90" s="23" t="str">
        <x:v>L1_ЛП4_F3/Профлист</x:v>
      </x:c>
      <x:c r="B90" s="23" t="str">
        <x:v>F3</x:v>
      </x:c>
      <x:c r="C90" s="23" t="str">
        <x:v>ЛП4</x:v>
      </x:c>
      <x:c r="D90" s="23" t="str">
        <x:v>Профлист</x:v>
      </x:c>
      <x:c r="E90" s="23" t="str">
        <x:v>Профлист Н75-750-0,8; ГОСТ 24045-2016</x:v>
      </x:c>
      <x:c r="F90" s="23" t="str">
        <x:v>м²</x:v>
      </x:c>
      <x:c r="G90" s="26" t="n">
        <x:f>'03_Спец_РД'!H95</x:f>
        <x:v>5.5</x:v>
      </x:c>
      <x:c r="H90" s="26" t="n">
        <x:f>'02_Экземпляры'!F14</x:f>
        <x:v>1</x:v>
      </x:c>
      <x:c r="I90" s="26" t="n">
        <x:f>1</x:f>
        <x:v>1</x:v>
      </x:c>
      <x:c r="J90" s="26" t="n">
        <x:f>G90*H90*I90</x:f>
        <x:v>5.5</x:v>
      </x:c>
      <x:c r="K90" s="26" t="str">
        <x:f>IF('03_Спец_РД'!I95="","",'03_Спец_РД'!I95)</x:f>
      </x:c>
      <x:c r="L90" s="26" t="str">
        <x:f>IF(K90="","",J90*K90)</x:f>
      </x:c>
      <x:c r="M90" s="23" t="str">
        <x:v>Профлист</x:v>
      </x:c>
      <x:c r="N90" s="23" t="str">
        <x:v>АС.2 л.63; PDF 73</x:v>
      </x:c>
      <x:c r="O90" s="23" t="str">
        <x:v>S63_ЛП4_Профлист</x:v>
      </x:c>
      <x:c r="P90" s="23" t="str">
        <x:v>Количество по РД; не пересчитывалось по горизонтальной проекции площадки.</x:v>
      </x:c>
      <x:c r="Q90" s="26" t="str">
        <x:f>IF('03_Спец_РД'!N95="","",'03_Спец_РД'!N95)</x:f>
      </x:c>
      <x:c r="R90" s="26" t="str">
        <x:f>IF(F90="м",J90,IF(Q90="","",J90*Q90/1000))</x:f>
      </x:c>
    </x:row>
    <x:row r="91" ht="54" customHeight="1">
      <x:c r="A91" s="23" t="str">
        <x:v>L1_ЛП4_F3/Бетон</x:v>
      </x:c>
      <x:c r="B91" s="23" t="str">
        <x:v>F3</x:v>
      </x:c>
      <x:c r="C91" s="23" t="str">
        <x:v>ЛП4</x:v>
      </x:c>
      <x:c r="D91" s="23" t="str">
        <x:v>Бетон</x:v>
      </x:c>
      <x:c r="E91" s="23" t="str">
        <x:v>Тяжёлый бетон В25; ГОСТ 26633-2015</x:v>
      </x:c>
      <x:c r="F91" s="23" t="str">
        <x:v>м³</x:v>
      </x:c>
      <x:c r="G91" s="26" t="n">
        <x:f>'03_Спец_РД'!H96</x:f>
        <x:v>0.8</x:v>
      </x:c>
      <x:c r="H91" s="26" t="n">
        <x:f>'02_Экземпляры'!F14</x:f>
        <x:v>1</x:v>
      </x:c>
      <x:c r="I91" s="26" t="n">
        <x:f>1</x:f>
        <x:v>1</x:v>
      </x:c>
      <x:c r="J91" s="26" t="n">
        <x:f>G91*H91*I91</x:f>
        <x:v>0.8</x:v>
      </x:c>
      <x:c r="K91" s="26" t="str">
        <x:f>IF('03_Спец_РД'!I96="","",'03_Спец_РД'!I96)</x:f>
      </x:c>
      <x:c r="L91" s="26" t="str">
        <x:f>IF(K91="","",J91*K91)</x:f>
      </x:c>
      <x:c r="M91" s="23" t="str">
        <x:v>Бетон В25</x:v>
      </x:c>
      <x:c r="N91" s="23" t="str">
        <x:v>АС.2 л.63; PDF 73</x:v>
      </x:c>
      <x:c r="O91" s="23" t="str">
        <x:v>S63_ЛП4_Бетон</x:v>
      </x:c>
      <x:c r="P91" s="23" t="str"/>
      <x:c r="Q91" s="26" t="str">
        <x:f>IF('03_Спец_РД'!N96="","",'03_Спец_РД'!N96)</x:f>
      </x:c>
      <x:c r="R91" s="26" t="str">
        <x:f>IF(F91="м",J91,IF(Q91="","",J91*Q91/1000))</x:f>
      </x:c>
    </x:row>
    <x:row r="92" ht="54" customHeight="1">
      <x:c r="A92" s="23" t="str">
        <x:v>L1_МУ1_F1/1</x:v>
      </x:c>
      <x:c r="B92" s="23" t="str">
        <x:v>F1</x:v>
      </x:c>
      <x:c r="C92" s="23" t="str">
        <x:v>МУ1</x:v>
      </x:c>
      <x:c r="D92" s="23" t="str">
        <x:v>1</x:v>
      </x:c>
      <x:c r="E92" s="23" t="str">
        <x:v>∅16 А500С; L=2550 мм; ГОСТ 34028-2016</x:v>
      </x:c>
      <x:c r="F92" s="23" t="str">
        <x:v>шт</x:v>
      </x:c>
      <x:c r="G92" s="26" t="n">
        <x:f>'03_Спец_РД'!H118</x:f>
        <x:v>4</x:v>
      </x:c>
      <x:c r="H92" s="26" t="n">
        <x:f>'02_Экземпляры'!F15</x:f>
        <x:v>1</x:v>
      </x:c>
      <x:c r="I92" s="26" t="n">
        <x:f>1</x:f>
        <x:v>1</x:v>
      </x:c>
      <x:c r="J92" s="26" t="n">
        <x:f>G92*H92*I92</x:f>
        <x:v>4</x:v>
      </x:c>
      <x:c r="K92" s="26" t="n">
        <x:f>IF('03_Спец_РД'!I118="","",'03_Спец_РД'!I118)</x:f>
        <x:v>4.03</x:v>
      </x:c>
      <x:c r="L92" s="26" t="n">
        <x:f>IF(K92="","",J92*K92)</x:f>
        <x:v>16.12</x:v>
      </x:c>
      <x:c r="M92" s="23" t="str">
        <x:v>Арматура</x:v>
      </x:c>
      <x:c r="N92" s="23" t="str">
        <x:v>АС.2 л.66; PDF 76</x:v>
      </x:c>
      <x:c r="O92" s="23" t="str">
        <x:v>S66_МУ1_1</x:v>
      </x:c>
      <x:c r="P92" s="23" t="str">
        <x:v>МУ1: два экземпляра</x:v>
      </x:c>
      <x:c r="Q92" s="26" t="n">
        <x:f>IF('03_Спец_РД'!N118="","",'03_Спец_РД'!N118)</x:f>
        <x:v>2550</x:v>
      </x:c>
      <x:c r="R92" s="26" t="n">
        <x:f>IF(F92="м",J92,IF(Q92="","",J92*Q92/1000))</x:f>
        <x:v>10.2</x:v>
      </x:c>
    </x:row>
    <x:row r="93" ht="54" customHeight="1">
      <x:c r="A93" s="23" t="str">
        <x:v>L1_МУ1_F1/2</x:v>
      </x:c>
      <x:c r="B93" s="23" t="str">
        <x:v>F1</x:v>
      </x:c>
      <x:c r="C93" s="23" t="str">
        <x:v>МУ1</x:v>
      </x:c>
      <x:c r="D93" s="23" t="str">
        <x:v>2</x:v>
      </x:c>
      <x:c r="E93" s="23" t="str">
        <x:v>∅16 А500С; L=1180 мм; ГОСТ 34028-2016</x:v>
      </x:c>
      <x:c r="F93" s="23" t="str">
        <x:v>шт</x:v>
      </x:c>
      <x:c r="G93" s="26" t="n">
        <x:f>'03_Спец_РД'!H119</x:f>
        <x:v>1</x:v>
      </x:c>
      <x:c r="H93" s="26" t="n">
        <x:f>'02_Экземпляры'!F15</x:f>
        <x:v>1</x:v>
      </x:c>
      <x:c r="I93" s="26" t="n">
        <x:f>1</x:f>
        <x:v>1</x:v>
      </x:c>
      <x:c r="J93" s="26" t="n">
        <x:f>G93*H93*I93</x:f>
        <x:v>1</x:v>
      </x:c>
      <x:c r="K93" s="26" t="n">
        <x:f>IF('03_Спец_РД'!I119="","",'03_Спец_РД'!I119)</x:f>
        <x:v>1.86</x:v>
      </x:c>
      <x:c r="L93" s="26" t="n">
        <x:f>IF(K93="","",J93*K93)</x:f>
        <x:v>1.86</x:v>
      </x:c>
      <x:c r="M93" s="23" t="str">
        <x:v>Арматура</x:v>
      </x:c>
      <x:c r="N93" s="23" t="str">
        <x:v>АС.2 л.66; PDF 76</x:v>
      </x:c>
      <x:c r="O93" s="23" t="str">
        <x:v>S66_МУ1_2</x:v>
      </x:c>
      <x:c r="P93" s="23" t="str">
        <x:v>МУ1: два экземпляра</x:v>
      </x:c>
      <x:c r="Q93" s="26" t="n">
        <x:f>IF('03_Спец_РД'!N119="","",'03_Спец_РД'!N119)</x:f>
        <x:v>1180</x:v>
      </x:c>
      <x:c r="R93" s="26" t="n">
        <x:f>IF(F93="м",J93,IF(Q93="","",J93*Q93/1000))</x:f>
        <x:v>1.18</x:v>
      </x:c>
    </x:row>
    <x:row r="94" ht="54" customHeight="1">
      <x:c r="A94" s="23" t="str">
        <x:v>L1_МУ1_F1/3*</x:v>
      </x:c>
      <x:c r="B94" s="23" t="str">
        <x:v>F1</x:v>
      </x:c>
      <x:c r="C94" s="23" t="str">
        <x:v>МУ1</x:v>
      </x:c>
      <x:c r="D94" s="23" t="str">
        <x:v>3*</x:v>
      </x:c>
      <x:c r="E94" s="23" t="str">
        <x:v>∅8 А240; L=620 мм; ГОСТ 34028-2016</x:v>
      </x:c>
      <x:c r="F94" s="23" t="str">
        <x:v>шт</x:v>
      </x:c>
      <x:c r="G94" s="26" t="n">
        <x:f>'03_Спец_РД'!H120</x:f>
        <x:v>14</x:v>
      </x:c>
      <x:c r="H94" s="26" t="n">
        <x:f>'02_Экземпляры'!F15</x:f>
        <x:v>1</x:v>
      </x:c>
      <x:c r="I94" s="26" t="n">
        <x:f>1</x:f>
        <x:v>1</x:v>
      </x:c>
      <x:c r="J94" s="26" t="n">
        <x:f>G94*H94*I94</x:f>
        <x:v>14</x:v>
      </x:c>
      <x:c r="K94" s="26" t="n">
        <x:f>IF('03_Спец_РД'!I120="","",'03_Спец_РД'!I120)</x:f>
        <x:v>0.24</x:v>
      </x:c>
      <x:c r="L94" s="26" t="n">
        <x:f>IF(K94="","",J94*K94)</x:f>
        <x:v>3.36</x:v>
      </x:c>
      <x:c r="M94" s="23" t="str">
        <x:v>Арматура</x:v>
      </x:c>
      <x:c r="N94" s="23" t="str">
        <x:v>АС.2 л.66; PDF 76</x:v>
      </x:c>
      <x:c r="O94" s="23" t="str">
        <x:v>S66_МУ1_3*</x:v>
      </x:c>
      <x:c r="P94" s="23" t="str">
        <x:v>МУ1: два экземпляра</x:v>
      </x:c>
      <x:c r="Q94" s="26" t="n">
        <x:f>IF('03_Спец_РД'!N120="","",'03_Спец_РД'!N120)</x:f>
        <x:v>620</x:v>
      </x:c>
      <x:c r="R94" s="26" t="n">
        <x:f>IF(F94="м",J94,IF(Q94="","",J94*Q94/1000))</x:f>
        <x:v>8.68</x:v>
      </x:c>
    </x:row>
    <x:row r="95" ht="54" customHeight="1">
      <x:c r="A95" s="23" t="str">
        <x:v>L1_МУ1_F1/4*</x:v>
      </x:c>
      <x:c r="B95" s="23" t="str">
        <x:v>F1</x:v>
      </x:c>
      <x:c r="C95" s="23" t="str">
        <x:v>МУ1</x:v>
      </x:c>
      <x:c r="D95" s="23" t="str">
        <x:v>4*</x:v>
      </x:c>
      <x:c r="E95" s="23" t="str">
        <x:v>∅8 А240; L=660 мм; ГОСТ 34028-2016</x:v>
      </x:c>
      <x:c r="F95" s="23" t="str">
        <x:v>шт</x:v>
      </x:c>
      <x:c r="G95" s="26" t="n">
        <x:f>'03_Спец_РД'!H121</x:f>
        <x:v>11</x:v>
      </x:c>
      <x:c r="H95" s="26" t="n">
        <x:f>'02_Экземпляры'!F15</x:f>
        <x:v>1</x:v>
      </x:c>
      <x:c r="I95" s="26" t="n">
        <x:f>1</x:f>
        <x:v>1</x:v>
      </x:c>
      <x:c r="J95" s="26" t="n">
        <x:f>G95*H95*I95</x:f>
        <x:v>11</x:v>
      </x:c>
      <x:c r="K95" s="26" t="n">
        <x:f>IF('03_Спец_РД'!I121="","",'03_Спец_РД'!I121)</x:f>
        <x:v>0.26</x:v>
      </x:c>
      <x:c r="L95" s="26" t="n">
        <x:f>IF(K95="","",J95*K95)</x:f>
        <x:v>2.8600000000000003</x:v>
      </x:c>
      <x:c r="M95" s="23" t="str">
        <x:v>Арматура</x:v>
      </x:c>
      <x:c r="N95" s="23" t="str">
        <x:v>АС.2 л.66; PDF 76</x:v>
      </x:c>
      <x:c r="O95" s="23" t="str">
        <x:v>S66_МУ1_4*</x:v>
      </x:c>
      <x:c r="P95" s="23" t="str">
        <x:v>МУ1: два экземпляра</x:v>
      </x:c>
      <x:c r="Q95" s="26" t="n">
        <x:f>IF('03_Спец_РД'!N121="","",'03_Спец_РД'!N121)</x:f>
        <x:v>660</x:v>
      </x:c>
      <x:c r="R95" s="26" t="n">
        <x:f>IF(F95="м",J95,IF(Q95="","",J95*Q95/1000))</x:f>
        <x:v>7.26</x:v>
      </x:c>
    </x:row>
    <x:row r="96" ht="54" customHeight="1">
      <x:c r="A96" s="23" t="str">
        <x:v>L1_МУ1_F1/Бетон</x:v>
      </x:c>
      <x:c r="B96" s="23" t="str">
        <x:v>F1</x:v>
      </x:c>
      <x:c r="C96" s="23" t="str">
        <x:v>МУ1</x:v>
      </x:c>
      <x:c r="D96" s="23" t="str">
        <x:v>Бетон</x:v>
      </x:c>
      <x:c r="E96" s="23" t="str">
        <x:v>Тяжёлый бетон В25; ГОСТ 26633-2015</x:v>
      </x:c>
      <x:c r="F96" s="23" t="str">
        <x:v>м³</x:v>
      </x:c>
      <x:c r="G96" s="26" t="n">
        <x:f>'03_Спец_РД'!H122</x:f>
        <x:v>0.1</x:v>
      </x:c>
      <x:c r="H96" s="26" t="n">
        <x:f>'02_Экземпляры'!F15</x:f>
        <x:v>1</x:v>
      </x:c>
      <x:c r="I96" s="26" t="n">
        <x:f>1</x:f>
        <x:v>1</x:v>
      </x:c>
      <x:c r="J96" s="26" t="n">
        <x:f>G96*H96*I96</x:f>
        <x:v>0.1</x:v>
      </x:c>
      <x:c r="K96" s="26" t="str">
        <x:f>IF('03_Спец_РД'!I122="","",'03_Спец_РД'!I122)</x:f>
      </x:c>
      <x:c r="L96" s="26" t="str">
        <x:f>IF(K96="","",J96*K96)</x:f>
      </x:c>
      <x:c r="M96" s="23" t="str">
        <x:v>Бетон В25</x:v>
      </x:c>
      <x:c r="N96" s="23" t="str">
        <x:v>АС.2 л.66; PDF 76</x:v>
      </x:c>
      <x:c r="O96" s="23" t="str">
        <x:v>S66_МУ1_Бетон</x:v>
      </x:c>
      <x:c r="P96" s="23" t="str">
        <x:v>МУ1: два экземпляра; На один экземпляр. Два экземпляра по заголовку л.66 и планам л.55, несмотря на 1 шт в л.56.</x:v>
      </x:c>
      <x:c r="Q96" s="26" t="str">
        <x:f>IF('03_Спец_РД'!N122="","",'03_Спец_РД'!N122)</x:f>
      </x:c>
      <x:c r="R96" s="26" t="str">
        <x:f>IF(F96="м",J96,IF(Q96="","",J96*Q96/1000))</x:f>
      </x:c>
    </x:row>
    <x:row r="97" ht="54" customHeight="1">
      <x:c r="A97" s="23" t="str">
        <x:v>L1_МУ2_F1/1</x:v>
      </x:c>
      <x:c r="B97" s="23" t="str">
        <x:v>F1</x:v>
      </x:c>
      <x:c r="C97" s="23" t="str">
        <x:v>МУ2</x:v>
      </x:c>
      <x:c r="D97" s="23" t="str">
        <x:v>1</x:v>
      </x:c>
      <x:c r="E97" s="23" t="str">
        <x:v>∅16 А500С; погонный метраж; ГОСТ 34028-2016</x:v>
      </x:c>
      <x:c r="F97" s="23" t="str">
        <x:v>м</x:v>
      </x:c>
      <x:c r="G97" s="26" t="n">
        <x:f>'03_Спец_РД'!H123</x:f>
        <x:v>72.24</x:v>
      </x:c>
      <x:c r="H97" s="26" t="n">
        <x:f>'02_Экземпляры'!F16</x:f>
        <x:v>1</x:v>
      </x:c>
      <x:c r="I97" s="26" t="n">
        <x:f>1</x:f>
        <x:v>1</x:v>
      </x:c>
      <x:c r="J97" s="26" t="n">
        <x:f>G97*H97*I97</x:f>
        <x:v>72.24</x:v>
      </x:c>
      <x:c r="K97" s="26" t="n">
        <x:f>IF('03_Спец_РД'!I123="","",'03_Спец_РД'!I123)</x:f>
        <x:v>1.58</x:v>
      </x:c>
      <x:c r="L97" s="26" t="n">
        <x:f>IF(K97="","",J97*K97)</x:f>
        <x:v>114.1392</x:v>
      </x:c>
      <x:c r="M97" s="23" t="str">
        <x:v>Арматура</x:v>
      </x:c>
      <x:c r="N97" s="23" t="str">
        <x:v>АС.2 л.67; PDF 77</x:v>
      </x:c>
      <x:c r="O97" s="23" t="str">
        <x:v>S67_МУ2_1</x:v>
      </x:c>
      <x:c r="P97" s="23" t="str"/>
      <x:c r="Q97" s="26" t="str">
        <x:f>IF('03_Спец_РД'!N123="","",'03_Спец_РД'!N123)</x:f>
      </x:c>
      <x:c r="R97" s="26" t="n">
        <x:f>IF(F97="м",J97,IF(Q97="","",J97*Q97/1000))</x:f>
        <x:v>72.24</x:v>
      </x:c>
    </x:row>
    <x:row r="98" ht="54" customHeight="1">
      <x:c r="A98" s="23" t="str">
        <x:v>L1_МУ2_F1/2*</x:v>
      </x:c>
      <x:c r="B98" s="23" t="str">
        <x:v>F1</x:v>
      </x:c>
      <x:c r="C98" s="23" t="str">
        <x:v>МУ2</x:v>
      </x:c>
      <x:c r="D98" s="23" t="str">
        <x:v>2*</x:v>
      </x:c>
      <x:c r="E98" s="23" t="str">
        <x:v>∅16 А500С; L=1685 мм; ГОСТ 34028-2016</x:v>
      </x:c>
      <x:c r="F98" s="23" t="str">
        <x:v>шт</x:v>
      </x:c>
      <x:c r="G98" s="26" t="n">
        <x:f>'03_Спец_РД'!H124</x:f>
        <x:v>15</x:v>
      </x:c>
      <x:c r="H98" s="26" t="n">
        <x:f>'02_Экземпляры'!F16</x:f>
        <x:v>1</x:v>
      </x:c>
      <x:c r="I98" s="26" t="n">
        <x:f>1</x:f>
        <x:v>1</x:v>
      </x:c>
      <x:c r="J98" s="26" t="n">
        <x:f>G98*H98*I98</x:f>
        <x:v>15</x:v>
      </x:c>
      <x:c r="K98" s="26" t="n">
        <x:f>IF('03_Спец_РД'!I124="","",'03_Спец_РД'!I124)</x:f>
        <x:v>2.66</x:v>
      </x:c>
      <x:c r="L98" s="26" t="n">
        <x:f>IF(K98="","",J98*K98)</x:f>
        <x:v>39.900000000000006</x:v>
      </x:c>
      <x:c r="M98" s="23" t="str">
        <x:v>Арматура</x:v>
      </x:c>
      <x:c r="N98" s="23" t="str">
        <x:v>АС.2 л.67; PDF 77</x:v>
      </x:c>
      <x:c r="O98" s="23" t="str">
        <x:v>S67_МУ2_2*</x:v>
      </x:c>
      <x:c r="P98" s="23" t="str">
        <x:v>Масса единицы сохранена по таблице.</x:v>
      </x:c>
      <x:c r="Q98" s="26" t="n">
        <x:f>IF('03_Спец_РД'!N124="","",'03_Спец_РД'!N124)</x:f>
        <x:v>1685</x:v>
      </x:c>
      <x:c r="R98" s="26" t="n">
        <x:f>IF(F98="м",J98,IF(Q98="","",J98*Q98/1000))</x:f>
        <x:v>25.275</x:v>
      </x:c>
    </x:row>
    <x:row r="99" ht="54" customHeight="1">
      <x:c r="A99" s="23" t="str">
        <x:v>L1_МУ2_F1/3*</x:v>
      </x:c>
      <x:c r="B99" s="23" t="str">
        <x:v>F1</x:v>
      </x:c>
      <x:c r="C99" s="23" t="str">
        <x:v>МУ2</x:v>
      </x:c>
      <x:c r="D99" s="23" t="str">
        <x:v>3*</x:v>
      </x:c>
      <x:c r="E99" s="23" t="str">
        <x:v>∅16 А500С; L=1470 мм; ГОСТ 34028-2016</x:v>
      </x:c>
      <x:c r="F99" s="23" t="str">
        <x:v>шт</x:v>
      </x:c>
      <x:c r="G99" s="26" t="n">
        <x:f>'03_Спец_РД'!H125</x:f>
        <x:v>18</x:v>
      </x:c>
      <x:c r="H99" s="26" t="n">
        <x:f>'02_Экземпляры'!F16</x:f>
        <x:v>1</x:v>
      </x:c>
      <x:c r="I99" s="26" t="n">
        <x:f>1</x:f>
        <x:v>1</x:v>
      </x:c>
      <x:c r="J99" s="26" t="n">
        <x:f>G99*H99*I99</x:f>
        <x:v>18</x:v>
      </x:c>
      <x:c r="K99" s="26" t="n">
        <x:f>IF('03_Спец_РД'!I125="","",'03_Спец_РД'!I125)</x:f>
        <x:v>2.32</x:v>
      </x:c>
      <x:c r="L99" s="26" t="n">
        <x:f>IF(K99="","",J99*K99)</x:f>
        <x:v>41.76</x:v>
      </x:c>
      <x:c r="M99" s="23" t="str">
        <x:v>Арматура</x:v>
      </x:c>
      <x:c r="N99" s="23" t="str">
        <x:v>АС.2 л.67; PDF 77</x:v>
      </x:c>
      <x:c r="O99" s="23" t="str">
        <x:v>S67_МУ2_3*</x:v>
      </x:c>
      <x:c r="P99" s="23" t="str"/>
      <x:c r="Q99" s="26" t="n">
        <x:f>IF('03_Спец_РД'!N125="","",'03_Спец_РД'!N125)</x:f>
        <x:v>1470</x:v>
      </x:c>
      <x:c r="R99" s="26" t="n">
        <x:f>IF(F99="м",J99,IF(Q99="","",J99*Q99/1000))</x:f>
        <x:v>26.46</x:v>
      </x:c>
    </x:row>
    <x:row r="100" ht="54" customHeight="1">
      <x:c r="A100" s="23" t="str">
        <x:v>L1_МУ2_F1/4*</x:v>
      </x:c>
      <x:c r="B100" s="23" t="str">
        <x:v>F1</x:v>
      </x:c>
      <x:c r="C100" s="23" t="str">
        <x:v>МУ2</x:v>
      </x:c>
      <x:c r="D100" s="23" t="str">
        <x:v>4*</x:v>
      </x:c>
      <x:c r="E100" s="23" t="str">
        <x:v>∅10 А240; L=910 мм; ГОСТ 34028-2016</x:v>
      </x:c>
      <x:c r="F100" s="23" t="str">
        <x:v>шт</x:v>
      </x:c>
      <x:c r="G100" s="26" t="n">
        <x:f>'03_Спец_РД'!H126</x:f>
        <x:v>8</x:v>
      </x:c>
      <x:c r="H100" s="26" t="n">
        <x:f>'02_Экземпляры'!F16</x:f>
        <x:v>1</x:v>
      </x:c>
      <x:c r="I100" s="26" t="n">
        <x:f>1</x:f>
        <x:v>1</x:v>
      </x:c>
      <x:c r="J100" s="26" t="n">
        <x:f>G100*H100*I100</x:f>
        <x:v>8</x:v>
      </x:c>
      <x:c r="K100" s="26" t="n">
        <x:f>IF('03_Спец_РД'!I126="","",'03_Спец_РД'!I126)</x:f>
        <x:v>0.36</x:v>
      </x:c>
      <x:c r="L100" s="26" t="n">
        <x:f>IF(K100="","",J100*K100)</x:f>
        <x:v>2.88</x:v>
      </x:c>
      <x:c r="M100" s="23" t="str">
        <x:v>Арматура</x:v>
      </x:c>
      <x:c r="N100" s="23" t="str">
        <x:v>АС.2 л.67; PDF 77</x:v>
      </x:c>
      <x:c r="O100" s="23" t="str">
        <x:v>S67_МУ2_4*</x:v>
      </x:c>
      <x:c r="P100" s="23" t="str">
        <x:v>∅10/L910/0,36 кг в РД: проверить сочетание диаметра и массы — RFI-L06.</x:v>
      </x:c>
      <x:c r="Q100" s="26" t="n">
        <x:f>IF('03_Спец_РД'!N126="","",'03_Спец_РД'!N126)</x:f>
        <x:v>910</x:v>
      </x:c>
      <x:c r="R100" s="26" t="n">
        <x:f>IF(F100="м",J100,IF(Q100="","",J100*Q100/1000))</x:f>
        <x:v>7.28</x:v>
      </x:c>
    </x:row>
    <x:row r="101" ht="54" customHeight="1">
      <x:c r="A101" s="23" t="str">
        <x:v>L1_МУ2_F1/Бетон</x:v>
      </x:c>
      <x:c r="B101" s="23" t="str">
        <x:v>F1</x:v>
      </x:c>
      <x:c r="C101" s="23" t="str">
        <x:v>МУ2</x:v>
      </x:c>
      <x:c r="D101" s="23" t="str">
        <x:v>Бетон</x:v>
      </x:c>
      <x:c r="E101" s="23" t="str">
        <x:v>Тяжёлый бетон В25; ГОСТ 26633-2015</x:v>
      </x:c>
      <x:c r="F101" s="23" t="str">
        <x:v>м³</x:v>
      </x:c>
      <x:c r="G101" s="26" t="n">
        <x:f>'03_Спец_РД'!H127</x:f>
        <x:v>0.95</x:v>
      </x:c>
      <x:c r="H101" s="26" t="n">
        <x:f>'02_Экземпляры'!F16</x:f>
        <x:v>1</x:v>
      </x:c>
      <x:c r="I101" s="26" t="n">
        <x:f>1</x:f>
        <x:v>1</x:v>
      </x:c>
      <x:c r="J101" s="26" t="n">
        <x:f>G101*H101*I101</x:f>
        <x:v>0.95</x:v>
      </x:c>
      <x:c r="K101" s="26" t="str">
        <x:f>IF('03_Спец_РД'!I127="","",'03_Спец_РД'!I127)</x:f>
      </x:c>
      <x:c r="L101" s="26" t="str">
        <x:f>IF(K101="","",J101*K101)</x:f>
      </x:c>
      <x:c r="M101" s="23" t="str">
        <x:v>Бетон В25</x:v>
      </x:c>
      <x:c r="N101" s="23" t="str">
        <x:v>АС.2 л.67; PDF 77</x:v>
      </x:c>
      <x:c r="O101" s="23" t="str">
        <x:v>S67_МУ2_Бетон</x:v>
      </x:c>
      <x:c r="P101" s="23" t="str"/>
      <x:c r="Q101" s="26" t="str">
        <x:f>IF('03_Спец_РД'!N127="","",'03_Спец_РД'!N127)</x:f>
      </x:c>
      <x:c r="R101" s="26" t="str">
        <x:f>IF(F101="м",J101,IF(Q101="","",J101*Q101/1000))</x:f>
      </x:c>
    </x:row>
    <x:row r="102" ht="54" customHeight="1">
      <x:c r="A102" s="23" t="str">
        <x:v>L1_МУ1_F2/1</x:v>
      </x:c>
      <x:c r="B102" s="23" t="str">
        <x:v>F2</x:v>
      </x:c>
      <x:c r="C102" s="23" t="str">
        <x:v>МУ1</x:v>
      </x:c>
      <x:c r="D102" s="23" t="str">
        <x:v>1</x:v>
      </x:c>
      <x:c r="E102" s="23" t="str">
        <x:v>∅16 А500С; L=2550 мм; ГОСТ 34028-2016</x:v>
      </x:c>
      <x:c r="F102" s="23" t="str">
        <x:v>шт</x:v>
      </x:c>
      <x:c r="G102" s="26" t="n">
        <x:f>'03_Спец_РД'!H118</x:f>
        <x:v>4</x:v>
      </x:c>
      <x:c r="H102" s="26" t="n">
        <x:f>'02_Экземпляры'!F17</x:f>
        <x:v>1</x:v>
      </x:c>
      <x:c r="I102" s="26" t="n">
        <x:f>1</x:f>
        <x:v>1</x:v>
      </x:c>
      <x:c r="J102" s="26" t="n">
        <x:f>G102*H102*I102</x:f>
        <x:v>4</x:v>
      </x:c>
      <x:c r="K102" s="26" t="n">
        <x:f>IF('03_Спец_РД'!I118="","",'03_Спец_РД'!I118)</x:f>
        <x:v>4.03</x:v>
      </x:c>
      <x:c r="L102" s="26" t="n">
        <x:f>IF(K102="","",J102*K102)</x:f>
        <x:v>16.12</x:v>
      </x:c>
      <x:c r="M102" s="23" t="str">
        <x:v>Арматура</x:v>
      </x:c>
      <x:c r="N102" s="23" t="str">
        <x:v>АС.2 л.66; PDF 76</x:v>
      </x:c>
      <x:c r="O102" s="23" t="str">
        <x:v>S66_МУ1_1</x:v>
      </x:c>
      <x:c r="P102" s="23" t="str">
        <x:v>МУ1: два экземпляра</x:v>
      </x:c>
      <x:c r="Q102" s="26" t="n">
        <x:f>IF('03_Спец_РД'!N118="","",'03_Спец_РД'!N118)</x:f>
        <x:v>2550</x:v>
      </x:c>
      <x:c r="R102" s="26" t="n">
        <x:f>IF(F102="м",J102,IF(Q102="","",J102*Q102/1000))</x:f>
        <x:v>10.2</x:v>
      </x:c>
    </x:row>
    <x:row r="103" ht="54" customHeight="1">
      <x:c r="A103" s="23" t="str">
        <x:v>L1_МУ1_F2/2</x:v>
      </x:c>
      <x:c r="B103" s="23" t="str">
        <x:v>F2</x:v>
      </x:c>
      <x:c r="C103" s="23" t="str">
        <x:v>МУ1</x:v>
      </x:c>
      <x:c r="D103" s="23" t="str">
        <x:v>2</x:v>
      </x:c>
      <x:c r="E103" s="23" t="str">
        <x:v>∅16 А500С; L=1180 мм; ГОСТ 34028-2016</x:v>
      </x:c>
      <x:c r="F103" s="23" t="str">
        <x:v>шт</x:v>
      </x:c>
      <x:c r="G103" s="26" t="n">
        <x:f>'03_Спец_РД'!H119</x:f>
        <x:v>1</x:v>
      </x:c>
      <x:c r="H103" s="26" t="n">
        <x:f>'02_Экземпляры'!F17</x:f>
        <x:v>1</x:v>
      </x:c>
      <x:c r="I103" s="26" t="n">
        <x:f>1</x:f>
        <x:v>1</x:v>
      </x:c>
      <x:c r="J103" s="26" t="n">
        <x:f>G103*H103*I103</x:f>
        <x:v>1</x:v>
      </x:c>
      <x:c r="K103" s="26" t="n">
        <x:f>IF('03_Спец_РД'!I119="","",'03_Спец_РД'!I119)</x:f>
        <x:v>1.86</x:v>
      </x:c>
      <x:c r="L103" s="26" t="n">
        <x:f>IF(K103="","",J103*K103)</x:f>
        <x:v>1.86</x:v>
      </x:c>
      <x:c r="M103" s="23" t="str">
        <x:v>Арматура</x:v>
      </x:c>
      <x:c r="N103" s="23" t="str">
        <x:v>АС.2 л.66; PDF 76</x:v>
      </x:c>
      <x:c r="O103" s="23" t="str">
        <x:v>S66_МУ1_2</x:v>
      </x:c>
      <x:c r="P103" s="23" t="str">
        <x:v>МУ1: два экземпляра</x:v>
      </x:c>
      <x:c r="Q103" s="26" t="n">
        <x:f>IF('03_Спец_РД'!N119="","",'03_Спец_РД'!N119)</x:f>
        <x:v>1180</x:v>
      </x:c>
      <x:c r="R103" s="26" t="n">
        <x:f>IF(F103="м",J103,IF(Q103="","",J103*Q103/1000))</x:f>
        <x:v>1.18</x:v>
      </x:c>
    </x:row>
    <x:row r="104" ht="54" customHeight="1">
      <x:c r="A104" s="23" t="str">
        <x:v>L1_МУ1_F2/3*</x:v>
      </x:c>
      <x:c r="B104" s="23" t="str">
        <x:v>F2</x:v>
      </x:c>
      <x:c r="C104" s="23" t="str">
        <x:v>МУ1</x:v>
      </x:c>
      <x:c r="D104" s="23" t="str">
        <x:v>3*</x:v>
      </x:c>
      <x:c r="E104" s="23" t="str">
        <x:v>∅8 А240; L=620 мм; ГОСТ 34028-2016</x:v>
      </x:c>
      <x:c r="F104" s="23" t="str">
        <x:v>шт</x:v>
      </x:c>
      <x:c r="G104" s="26" t="n">
        <x:f>'03_Спец_РД'!H120</x:f>
        <x:v>14</x:v>
      </x:c>
      <x:c r="H104" s="26" t="n">
        <x:f>'02_Экземпляры'!F17</x:f>
        <x:v>1</x:v>
      </x:c>
      <x:c r="I104" s="26" t="n">
        <x:f>1</x:f>
        <x:v>1</x:v>
      </x:c>
      <x:c r="J104" s="26" t="n">
        <x:f>G104*H104*I104</x:f>
        <x:v>14</x:v>
      </x:c>
      <x:c r="K104" s="26" t="n">
        <x:f>IF('03_Спец_РД'!I120="","",'03_Спец_РД'!I120)</x:f>
        <x:v>0.24</x:v>
      </x:c>
      <x:c r="L104" s="26" t="n">
        <x:f>IF(K104="","",J104*K104)</x:f>
        <x:v>3.36</x:v>
      </x:c>
      <x:c r="M104" s="23" t="str">
        <x:v>Арматура</x:v>
      </x:c>
      <x:c r="N104" s="23" t="str">
        <x:v>АС.2 л.66; PDF 76</x:v>
      </x:c>
      <x:c r="O104" s="23" t="str">
        <x:v>S66_МУ1_3*</x:v>
      </x:c>
      <x:c r="P104" s="23" t="str">
        <x:v>МУ1: два экземпляра</x:v>
      </x:c>
      <x:c r="Q104" s="26" t="n">
        <x:f>IF('03_Спец_РД'!N120="","",'03_Спец_РД'!N120)</x:f>
        <x:v>620</x:v>
      </x:c>
      <x:c r="R104" s="26" t="n">
        <x:f>IF(F104="м",J104,IF(Q104="","",J104*Q104/1000))</x:f>
        <x:v>8.68</x:v>
      </x:c>
    </x:row>
    <x:row r="105" ht="54" customHeight="1">
      <x:c r="A105" s="23" t="str">
        <x:v>L1_МУ1_F2/4*</x:v>
      </x:c>
      <x:c r="B105" s="23" t="str">
        <x:v>F2</x:v>
      </x:c>
      <x:c r="C105" s="23" t="str">
        <x:v>МУ1</x:v>
      </x:c>
      <x:c r="D105" s="23" t="str">
        <x:v>4*</x:v>
      </x:c>
      <x:c r="E105" s="23" t="str">
        <x:v>∅8 А240; L=660 мм; ГОСТ 34028-2016</x:v>
      </x:c>
      <x:c r="F105" s="23" t="str">
        <x:v>шт</x:v>
      </x:c>
      <x:c r="G105" s="26" t="n">
        <x:f>'03_Спец_РД'!H121</x:f>
        <x:v>11</x:v>
      </x:c>
      <x:c r="H105" s="26" t="n">
        <x:f>'02_Экземпляры'!F17</x:f>
        <x:v>1</x:v>
      </x:c>
      <x:c r="I105" s="26" t="n">
        <x:f>1</x:f>
        <x:v>1</x:v>
      </x:c>
      <x:c r="J105" s="26" t="n">
        <x:f>G105*H105*I105</x:f>
        <x:v>11</x:v>
      </x:c>
      <x:c r="K105" s="26" t="n">
        <x:f>IF('03_Спец_РД'!I121="","",'03_Спец_РД'!I121)</x:f>
        <x:v>0.26</x:v>
      </x:c>
      <x:c r="L105" s="26" t="n">
        <x:f>IF(K105="","",J105*K105)</x:f>
        <x:v>2.8600000000000003</x:v>
      </x:c>
      <x:c r="M105" s="23" t="str">
        <x:v>Арматура</x:v>
      </x:c>
      <x:c r="N105" s="23" t="str">
        <x:v>АС.2 л.66; PDF 76</x:v>
      </x:c>
      <x:c r="O105" s="23" t="str">
        <x:v>S66_МУ1_4*</x:v>
      </x:c>
      <x:c r="P105" s="23" t="str">
        <x:v>МУ1: два экземпляра</x:v>
      </x:c>
      <x:c r="Q105" s="26" t="n">
        <x:f>IF('03_Спец_РД'!N121="","",'03_Спец_РД'!N121)</x:f>
        <x:v>660</x:v>
      </x:c>
      <x:c r="R105" s="26" t="n">
        <x:f>IF(F105="м",J105,IF(Q105="","",J105*Q105/1000))</x:f>
        <x:v>7.26</x:v>
      </x:c>
    </x:row>
    <x:row r="106" ht="54" customHeight="1">
      <x:c r="A106" s="23" t="str">
        <x:v>L1_МУ1_F2/Бетон</x:v>
      </x:c>
      <x:c r="B106" s="23" t="str">
        <x:v>F2</x:v>
      </x:c>
      <x:c r="C106" s="23" t="str">
        <x:v>МУ1</x:v>
      </x:c>
      <x:c r="D106" s="23" t="str">
        <x:v>Бетон</x:v>
      </x:c>
      <x:c r="E106" s="23" t="str">
        <x:v>Тяжёлый бетон В25; ГОСТ 26633-2015</x:v>
      </x:c>
      <x:c r="F106" s="23" t="str">
        <x:v>м³</x:v>
      </x:c>
      <x:c r="G106" s="26" t="n">
        <x:f>'03_Спец_РД'!H122</x:f>
        <x:v>0.1</x:v>
      </x:c>
      <x:c r="H106" s="26" t="n">
        <x:f>'02_Экземпляры'!F17</x:f>
        <x:v>1</x:v>
      </x:c>
      <x:c r="I106" s="26" t="n">
        <x:f>1</x:f>
        <x:v>1</x:v>
      </x:c>
      <x:c r="J106" s="26" t="n">
        <x:f>G106*H106*I106</x:f>
        <x:v>0.1</x:v>
      </x:c>
      <x:c r="K106" s="26" t="str">
        <x:f>IF('03_Спец_РД'!I122="","",'03_Спец_РД'!I122)</x:f>
      </x:c>
      <x:c r="L106" s="26" t="str">
        <x:f>IF(K106="","",J106*K106)</x:f>
      </x:c>
      <x:c r="M106" s="23" t="str">
        <x:v>Бетон В25</x:v>
      </x:c>
      <x:c r="N106" s="23" t="str">
        <x:v>АС.2 л.66; PDF 76</x:v>
      </x:c>
      <x:c r="O106" s="23" t="str">
        <x:v>S66_МУ1_Бетон</x:v>
      </x:c>
      <x:c r="P106" s="23" t="str">
        <x:v>МУ1: два экземпляра; На один экземпляр. Два экземпляра по заголовку л.66 и планам л.55, несмотря на 1 шт в л.56.</x:v>
      </x:c>
      <x:c r="Q106" s="26" t="str">
        <x:f>IF('03_Спец_РД'!N122="","",'03_Спец_РД'!N122)</x:f>
      </x:c>
      <x:c r="R106" s="26" t="str">
        <x:f>IF(F106="м",J106,IF(Q106="","",J106*Q106/1000))</x:f>
      </x:c>
    </x:row>
    <x:row r="107" ht="54" customHeight="1">
      <x:c r="A107" s="23" t="str">
        <x:v>L1_МУ3_F2/1</x:v>
      </x:c>
      <x:c r="B107" s="23" t="str">
        <x:v>F2</x:v>
      </x:c>
      <x:c r="C107" s="23" t="str">
        <x:v>МУ3</x:v>
      </x:c>
      <x:c r="D107" s="23" t="str">
        <x:v>1</x:v>
      </x:c>
      <x:c r="E107" s="23" t="str">
        <x:v>∅16 А500С; погонный метраж; ГОСТ 34028-2016</x:v>
      </x:c>
      <x:c r="F107" s="23" t="str">
        <x:v>м</x:v>
      </x:c>
      <x:c r="G107" s="26" t="n">
        <x:f>'03_Спец_РД'!H128</x:f>
        <x:v>71.94</x:v>
      </x:c>
      <x:c r="H107" s="26" t="n">
        <x:f>'02_Экземпляры'!F18</x:f>
        <x:v>1</x:v>
      </x:c>
      <x:c r="I107" s="26" t="n">
        <x:f>1</x:f>
        <x:v>1</x:v>
      </x:c>
      <x:c r="J107" s="26" t="n">
        <x:f>G107*H107*I107</x:f>
        <x:v>71.94</x:v>
      </x:c>
      <x:c r="K107" s="26" t="n">
        <x:f>IF('03_Спец_РД'!I128="","",'03_Спец_РД'!I128)</x:f>
        <x:v>1.58</x:v>
      </x:c>
      <x:c r="L107" s="26" t="n">
        <x:f>IF(K107="","",J107*K107)</x:f>
        <x:v>113.6652</x:v>
      </x:c>
      <x:c r="M107" s="23" t="str">
        <x:v>Арматура</x:v>
      </x:c>
      <x:c r="N107" s="23" t="str">
        <x:v>АС.2 л.68; PDF 78</x:v>
      </x:c>
      <x:c r="O107" s="23" t="str">
        <x:v>S68_МУ3_1</x:v>
      </x:c>
      <x:c r="P107" s="23" t="str"/>
      <x:c r="Q107" s="26" t="str">
        <x:f>IF('03_Спец_РД'!N128="","",'03_Спец_РД'!N128)</x:f>
      </x:c>
      <x:c r="R107" s="26" t="n">
        <x:f>IF(F107="м",J107,IF(Q107="","",J107*Q107/1000))</x:f>
        <x:v>71.94</x:v>
      </x:c>
    </x:row>
    <x:row r="108" ht="54" customHeight="1">
      <x:c r="A108" s="23" t="str">
        <x:v>L1_МУ3_F2/2*</x:v>
      </x:c>
      <x:c r="B108" s="23" t="str">
        <x:v>F2</x:v>
      </x:c>
      <x:c r="C108" s="23" t="str">
        <x:v>МУ3</x:v>
      </x:c>
      <x:c r="D108" s="23" t="str">
        <x:v>2*</x:v>
      </x:c>
      <x:c r="E108" s="23" t="str">
        <x:v>∅16 А500С; L=1665 мм; ГОСТ 34028-2016</x:v>
      </x:c>
      <x:c r="F108" s="23" t="str">
        <x:v>шт</x:v>
      </x:c>
      <x:c r="G108" s="26" t="n">
        <x:f>'03_Спец_РД'!H129</x:f>
        <x:v>15</x:v>
      </x:c>
      <x:c r="H108" s="26" t="n">
        <x:f>'02_Экземпляры'!F18</x:f>
        <x:v>1</x:v>
      </x:c>
      <x:c r="I108" s="26" t="n">
        <x:f>1</x:f>
        <x:v>1</x:v>
      </x:c>
      <x:c r="J108" s="26" t="n">
        <x:f>G108*H108*I108</x:f>
        <x:v>15</x:v>
      </x:c>
      <x:c r="K108" s="26" t="n">
        <x:f>IF('03_Спец_РД'!I129="","",'03_Спец_РД'!I129)</x:f>
        <x:v>2.66</x:v>
      </x:c>
      <x:c r="L108" s="26" t="n">
        <x:f>IF(K108="","",J108*K108)</x:f>
        <x:v>39.900000000000006</x:v>
      </x:c>
      <x:c r="M108" s="23" t="str">
        <x:v>Арматура</x:v>
      </x:c>
      <x:c r="N108" s="23" t="str">
        <x:v>АС.2 л.68; PDF 78</x:v>
      </x:c>
      <x:c r="O108" s="23" t="str">
        <x:v>S68_МУ3_2*</x:v>
      </x:c>
      <x:c r="P108" s="23" t="str">
        <x:v>Масса единицы сохранена по таблице.</x:v>
      </x:c>
      <x:c r="Q108" s="26" t="n">
        <x:f>IF('03_Спец_РД'!N129="","",'03_Спец_РД'!N129)</x:f>
        <x:v>1665</x:v>
      </x:c>
      <x:c r="R108" s="26" t="n">
        <x:f>IF(F108="м",J108,IF(Q108="","",J108*Q108/1000))</x:f>
        <x:v>24.975</x:v>
      </x:c>
    </x:row>
    <x:row r="109" ht="54" customHeight="1">
      <x:c r="A109" s="23" t="str">
        <x:v>L1_МУ3_F2/3*</x:v>
      </x:c>
      <x:c r="B109" s="23" t="str">
        <x:v>F2</x:v>
      </x:c>
      <x:c r="C109" s="23" t="str">
        <x:v>МУ3</x:v>
      </x:c>
      <x:c r="D109" s="23" t="str">
        <x:v>3*</x:v>
      </x:c>
      <x:c r="E109" s="23" t="str">
        <x:v>∅16 А500С; L=1470 мм; ГОСТ 34028-2016</x:v>
      </x:c>
      <x:c r="F109" s="23" t="str">
        <x:v>шт</x:v>
      </x:c>
      <x:c r="G109" s="26" t="n">
        <x:f>'03_Спец_РД'!H130</x:f>
        <x:v>18</x:v>
      </x:c>
      <x:c r="H109" s="26" t="n">
        <x:f>'02_Экземпляры'!F18</x:f>
        <x:v>1</x:v>
      </x:c>
      <x:c r="I109" s="26" t="n">
        <x:f>1</x:f>
        <x:v>1</x:v>
      </x:c>
      <x:c r="J109" s="26" t="n">
        <x:f>G109*H109*I109</x:f>
        <x:v>18</x:v>
      </x:c>
      <x:c r="K109" s="26" t="n">
        <x:f>IF('03_Спец_РД'!I130="","",'03_Спец_РД'!I130)</x:f>
        <x:v>2.32</x:v>
      </x:c>
      <x:c r="L109" s="26" t="n">
        <x:f>IF(K109="","",J109*K109)</x:f>
        <x:v>41.76</x:v>
      </x:c>
      <x:c r="M109" s="23" t="str">
        <x:v>Арматура</x:v>
      </x:c>
      <x:c r="N109" s="23" t="str">
        <x:v>АС.2 л.68; PDF 78</x:v>
      </x:c>
      <x:c r="O109" s="23" t="str">
        <x:v>S68_МУ3_3*</x:v>
      </x:c>
      <x:c r="P109" s="23" t="str"/>
      <x:c r="Q109" s="26" t="n">
        <x:f>IF('03_Спец_РД'!N130="","",'03_Спец_РД'!N130)</x:f>
        <x:v>1470</x:v>
      </x:c>
      <x:c r="R109" s="26" t="n">
        <x:f>IF(F109="м",J109,IF(Q109="","",J109*Q109/1000))</x:f>
        <x:v>26.46</x:v>
      </x:c>
    </x:row>
    <x:row r="110" ht="54" customHeight="1">
      <x:c r="A110" s="23" t="str">
        <x:v>L1_МУ3_F2/4*</x:v>
      </x:c>
      <x:c r="B110" s="23" t="str">
        <x:v>F2</x:v>
      </x:c>
      <x:c r="C110" s="23" t="str">
        <x:v>МУ3</x:v>
      </x:c>
      <x:c r="D110" s="23" t="str">
        <x:v>4*</x:v>
      </x:c>
      <x:c r="E110" s="23" t="str">
        <x:v>∅10 А240; L=910 мм; ГОСТ 34028-2016</x:v>
      </x:c>
      <x:c r="F110" s="23" t="str">
        <x:v>шт</x:v>
      </x:c>
      <x:c r="G110" s="26" t="n">
        <x:f>'03_Спец_РД'!H131</x:f>
        <x:v>8</x:v>
      </x:c>
      <x:c r="H110" s="26" t="n">
        <x:f>'02_Экземпляры'!F18</x:f>
        <x:v>1</x:v>
      </x:c>
      <x:c r="I110" s="26" t="n">
        <x:f>1</x:f>
        <x:v>1</x:v>
      </x:c>
      <x:c r="J110" s="26" t="n">
        <x:f>G110*H110*I110</x:f>
        <x:v>8</x:v>
      </x:c>
      <x:c r="K110" s="26" t="n">
        <x:f>IF('03_Спец_РД'!I131="","",'03_Спец_РД'!I131)</x:f>
        <x:v>0.36</x:v>
      </x:c>
      <x:c r="L110" s="26" t="n">
        <x:f>IF(K110="","",J110*K110)</x:f>
        <x:v>2.88</x:v>
      </x:c>
      <x:c r="M110" s="23" t="str">
        <x:v>Арматура</x:v>
      </x:c>
      <x:c r="N110" s="23" t="str">
        <x:v>АС.2 л.68; PDF 78</x:v>
      </x:c>
      <x:c r="O110" s="23" t="str">
        <x:v>S68_МУ3_4*</x:v>
      </x:c>
      <x:c r="P110" s="23" t="str">
        <x:v>∅10/L910/0,36 кг в РД: проверить сочетание диаметра и массы — RFI-L06.</x:v>
      </x:c>
      <x:c r="Q110" s="26" t="n">
        <x:f>IF('03_Спец_РД'!N131="","",'03_Спец_РД'!N131)</x:f>
        <x:v>910</x:v>
      </x:c>
      <x:c r="R110" s="26" t="n">
        <x:f>IF(F110="м",J110,IF(Q110="","",J110*Q110/1000))</x:f>
        <x:v>7.28</x:v>
      </x:c>
    </x:row>
    <x:row r="111" ht="54" customHeight="1">
      <x:c r="A111" s="23" t="str">
        <x:v>L1_МУ3_F2/Бетон</x:v>
      </x:c>
      <x:c r="B111" s="23" t="str">
        <x:v>F2</x:v>
      </x:c>
      <x:c r="C111" s="23" t="str">
        <x:v>МУ3</x:v>
      </x:c>
      <x:c r="D111" s="23" t="str">
        <x:v>Бетон</x:v>
      </x:c>
      <x:c r="E111" s="23" t="str">
        <x:v>Тяжёлый бетон В25; ГОСТ 26633-2015</x:v>
      </x:c>
      <x:c r="F111" s="23" t="str">
        <x:v>м³</x:v>
      </x:c>
      <x:c r="G111" s="26" t="n">
        <x:f>'03_Спец_РД'!H132</x:f>
        <x:v>0.94</x:v>
      </x:c>
      <x:c r="H111" s="26" t="n">
        <x:f>'02_Экземпляры'!F18</x:f>
        <x:v>1</x:v>
      </x:c>
      <x:c r="I111" s="26" t="n">
        <x:f>1</x:f>
        <x:v>1</x:v>
      </x:c>
      <x:c r="J111" s="26" t="n">
        <x:f>G111*H111*I111</x:f>
        <x:v>0.94</x:v>
      </x:c>
      <x:c r="K111" s="26" t="str">
        <x:f>IF('03_Спец_РД'!I132="","",'03_Спец_РД'!I132)</x:f>
      </x:c>
      <x:c r="L111" s="26" t="str">
        <x:f>IF(K111="","",J111*K111)</x:f>
      </x:c>
      <x:c r="M111" s="23" t="str">
        <x:v>Бетон В25</x:v>
      </x:c>
      <x:c r="N111" s="23" t="str">
        <x:v>АС.2 л.68; PDF 78</x:v>
      </x:c>
      <x:c r="O111" s="23" t="str">
        <x:v>S68_МУ3_Бетон</x:v>
      </x:c>
      <x:c r="P111" s="23" t="str"/>
      <x:c r="Q111" s="26" t="str">
        <x:f>IF('03_Спец_РД'!N132="","",'03_Спец_РД'!N132)</x:f>
      </x:c>
      <x:c r="R111" s="26" t="str">
        <x:f>IF(F111="м",J111,IF(Q111="","",J111*Q111/1000))</x:f>
      </x:c>
    </x:row>
    <x:row r="112" ht="54" customHeight="1">
      <x:c r="A112" s="23" t="str">
        <x:v>L1_Пп-1_RF/1</x:v>
      </x:c>
      <x:c r="B112" s="23" t="str">
        <x:v>RF</x:v>
      </x:c>
      <x:c r="C112" s="23" t="str">
        <x:v>Пп-1</x:v>
      </x:c>
      <x:c r="D112" s="23" t="str">
        <x:v>1</x:v>
      </x:c>
      <x:c r="E112" s="23" t="str">
        <x:v>∅12 А500С; L=2810 мм; ГОСТ 34028-2016</x:v>
      </x:c>
      <x:c r="F112" s="23" t="str">
        <x:v>шт</x:v>
      </x:c>
      <x:c r="G112" s="26" t="n">
        <x:f>'03_Спец_РД'!H133</x:f>
        <x:v>86</x:v>
      </x:c>
      <x:c r="H112" s="26" t="n">
        <x:f>'02_Экземпляры'!F19</x:f>
        <x:v>1</x:v>
      </x:c>
      <x:c r="I112" s="26" t="n">
        <x:f>1</x:f>
        <x:v>1</x:v>
      </x:c>
      <x:c r="J112" s="26" t="n">
        <x:f>G112*H112*I112</x:f>
        <x:v>86</x:v>
      </x:c>
      <x:c r="K112" s="26" t="n">
        <x:f>IF('03_Спец_РД'!I133="","",'03_Спец_РД'!I133)</x:f>
        <x:v>2.5</x:v>
      </x:c>
      <x:c r="L112" s="26" t="n">
        <x:f>IF(K112="","",J112*K112)</x:f>
        <x:v>215</x:v>
      </x:c>
      <x:c r="M112" s="23" t="str">
        <x:v>Арматура</x:v>
      </x:c>
      <x:c r="N112" s="23" t="str">
        <x:v>АС.2 л.69; PDF 79</x:v>
      </x:c>
      <x:c r="O112" s="23" t="str">
        <x:v>S69_Пп-1_1</x:v>
      </x:c>
      <x:c r="P112" s="23" t="str">
        <x:v>Раскладка/отметки/объём не согласованы — RFI-L02.</x:v>
      </x:c>
      <x:c r="Q112" s="26" t="n">
        <x:f>IF('03_Спец_РД'!N133="","",'03_Спец_РД'!N133)</x:f>
        <x:v>2810</x:v>
      </x:c>
      <x:c r="R112" s="26" t="n">
        <x:f>IF(F112="м",J112,IF(Q112="","",J112*Q112/1000))</x:f>
        <x:v>241.66</x:v>
      </x:c>
    </x:row>
    <x:row r="113" ht="54" customHeight="1">
      <x:c r="A113" s="23" t="str">
        <x:v>L1_Пп-1_RF/2</x:v>
      </x:c>
      <x:c r="B113" s="23" t="str">
        <x:v>RF</x:v>
      </x:c>
      <x:c r="C113" s="23" t="str">
        <x:v>Пп-1</x:v>
      </x:c>
      <x:c r="D113" s="23" t="str">
        <x:v>2</x:v>
      </x:c>
      <x:c r="E113" s="23" t="str">
        <x:v>∅12 А500С; L=6950 мм; ГОСТ 34028-2016</x:v>
      </x:c>
      <x:c r="F113" s="23" t="str">
        <x:v>шт</x:v>
      </x:c>
      <x:c r="G113" s="26" t="n">
        <x:f>'03_Спец_РД'!H134</x:f>
        <x:v>36</x:v>
      </x:c>
      <x:c r="H113" s="26" t="n">
        <x:f>'02_Экземпляры'!F19</x:f>
        <x:v>1</x:v>
      </x:c>
      <x:c r="I113" s="26" t="n">
        <x:f>1</x:f>
        <x:v>1</x:v>
      </x:c>
      <x:c r="J113" s="26" t="n">
        <x:f>G113*H113*I113</x:f>
        <x:v>36</x:v>
      </x:c>
      <x:c r="K113" s="26" t="n">
        <x:f>IF('03_Спец_РД'!I134="","",'03_Спец_РД'!I134)</x:f>
        <x:v>6.17</x:v>
      </x:c>
      <x:c r="L113" s="26" t="n">
        <x:f>IF(K113="","",J113*K113)</x:f>
        <x:v>222.12</x:v>
      </x:c>
      <x:c r="M113" s="23" t="str">
        <x:v>Арматура</x:v>
      </x:c>
      <x:c r="N113" s="23" t="str">
        <x:v>АС.2 л.69; PDF 79</x:v>
      </x:c>
      <x:c r="O113" s="23" t="str">
        <x:v>S69_Пп-1_2</x:v>
      </x:c>
      <x:c r="P113" s="23" t="str">
        <x:v>Раскладка/отметки/объём не согласованы — RFI-L02.</x:v>
      </x:c>
      <x:c r="Q113" s="26" t="n">
        <x:f>IF('03_Спец_РД'!N134="","",'03_Спец_РД'!N134)</x:f>
        <x:v>6950</x:v>
      </x:c>
      <x:c r="R113" s="26" t="n">
        <x:f>IF(F113="м",J113,IF(Q113="","",J113*Q113/1000))</x:f>
        <x:v>250.2</x:v>
      </x:c>
    </x:row>
    <x:row r="114" ht="54" customHeight="1">
      <x:c r="A114" s="23" t="str">
        <x:v>L1_Пп-1_RF/3</x:v>
      </x:c>
      <x:c r="B114" s="23" t="str">
        <x:v>RF</x:v>
      </x:c>
      <x:c r="C114" s="23" t="str">
        <x:v>Пп-1</x:v>
      </x:c>
      <x:c r="D114" s="23" t="str">
        <x:v>3</x:v>
      </x:c>
      <x:c r="E114" s="23" t="str">
        <x:v>∅16 А500С; L=2050 мм; ГОСТ 34028-2016</x:v>
      </x:c>
      <x:c r="F114" s="23" t="str">
        <x:v>шт</x:v>
      </x:c>
      <x:c r="G114" s="26" t="n">
        <x:f>'03_Спец_РД'!H135</x:f>
        <x:v>19</x:v>
      </x:c>
      <x:c r="H114" s="26" t="n">
        <x:f>'02_Экземпляры'!F19</x:f>
        <x:v>1</x:v>
      </x:c>
      <x:c r="I114" s="26" t="n">
        <x:f>1</x:f>
        <x:v>1</x:v>
      </x:c>
      <x:c r="J114" s="26" t="n">
        <x:f>G114*H114*I114</x:f>
        <x:v>19</x:v>
      </x:c>
      <x:c r="K114" s="26" t="n">
        <x:f>IF('03_Спец_РД'!I135="","",'03_Спец_РД'!I135)</x:f>
        <x:v>3.24</x:v>
      </x:c>
      <x:c r="L114" s="26" t="n">
        <x:f>IF(K114="","",J114*K114)</x:f>
        <x:v>61.56</x:v>
      </x:c>
      <x:c r="M114" s="23" t="str">
        <x:v>Арматура</x:v>
      </x:c>
      <x:c r="N114" s="23" t="str">
        <x:v>АС.2 л.69; PDF 79</x:v>
      </x:c>
      <x:c r="O114" s="23" t="str">
        <x:v>S69_Пп-1_3</x:v>
      </x:c>
      <x:c r="P114" s="23" t="str">
        <x:v>Раскладка/отметки/объём не согласованы — RFI-L02.</x:v>
      </x:c>
      <x:c r="Q114" s="26" t="n">
        <x:f>IF('03_Спец_РД'!N135="","",'03_Спец_РД'!N135)</x:f>
        <x:v>2050</x:v>
      </x:c>
      <x:c r="R114" s="26" t="n">
        <x:f>IF(F114="м",J114,IF(Q114="","",J114*Q114/1000))</x:f>
        <x:v>38.95</x:v>
      </x:c>
    </x:row>
    <x:row r="115" ht="54" customHeight="1">
      <x:c r="A115" s="23" t="str">
        <x:v>L1_Пп-1_RF/П-1</x:v>
      </x:c>
      <x:c r="B115" s="23" t="str">
        <x:v>RF</x:v>
      </x:c>
      <x:c r="C115" s="23" t="str">
        <x:v>Пп-1</x:v>
      </x:c>
      <x:c r="D115" s="23" t="str">
        <x:v>П-1</x:v>
      </x:c>
      <x:c r="E115" s="23" t="str">
        <x:v>∅12 А500С; L=1300 мм; ГОСТ 34028-2016</x:v>
      </x:c>
      <x:c r="F115" s="23" t="str">
        <x:v>шт</x:v>
      </x:c>
      <x:c r="G115" s="26" t="n">
        <x:f>'03_Спец_РД'!H136</x:f>
        <x:v>118</x:v>
      </x:c>
      <x:c r="H115" s="26" t="n">
        <x:f>'02_Экземпляры'!F19</x:f>
        <x:v>1</x:v>
      </x:c>
      <x:c r="I115" s="26" t="n">
        <x:f>1</x:f>
        <x:v>1</x:v>
      </x:c>
      <x:c r="J115" s="26" t="n">
        <x:f>G115*H115*I115</x:f>
        <x:v>118</x:v>
      </x:c>
      <x:c r="K115" s="26" t="n">
        <x:f>IF('03_Спец_РД'!I136="","",'03_Спец_РД'!I136)</x:f>
        <x:v>1.15</x:v>
      </x:c>
      <x:c r="L115" s="26" t="n">
        <x:f>IF(K115="","",J115*K115)</x:f>
        <x:v>135.7</x:v>
      </x:c>
      <x:c r="M115" s="23" t="str">
        <x:v>Арматура</x:v>
      </x:c>
      <x:c r="N115" s="23" t="str">
        <x:v>АС.2 л.69; PDF 79</x:v>
      </x:c>
      <x:c r="O115" s="23" t="str">
        <x:v>S69_Пп-1_П-1</x:v>
      </x:c>
      <x:c r="P115" s="23" t="str">
        <x:v>Раскладка/отметки/объём не согласованы — RFI-L02.</x:v>
      </x:c>
      <x:c r="Q115" s="26" t="n">
        <x:f>IF('03_Спец_РД'!N136="","",'03_Спец_РД'!N136)</x:f>
        <x:v>1300</x:v>
      </x:c>
      <x:c r="R115" s="26" t="n">
        <x:f>IF(F115="м",J115,IF(Q115="","",J115*Q115/1000))</x:f>
        <x:v>153.4</x:v>
      </x:c>
    </x:row>
    <x:row r="116" ht="54" customHeight="1">
      <x:c r="A116" s="23" t="str">
        <x:v>L1_Пп-1_RF/Ф-1</x:v>
      </x:c>
      <x:c r="B116" s="23" t="str">
        <x:v>RF</x:v>
      </x:c>
      <x:c r="C116" s="23" t="str">
        <x:v>Пп-1</x:v>
      </x:c>
      <x:c r="D116" s="23" t="str">
        <x:v>Ф-1</x:v>
      </x:c>
      <x:c r="E116" s="23" t="str">
        <x:v>∅10 А240; L=1130 мм; ГОСТ 34028-2016</x:v>
      </x:c>
      <x:c r="F116" s="23" t="str">
        <x:v>шт</x:v>
      </x:c>
      <x:c r="G116" s="26" t="n">
        <x:f>'03_Спец_РД'!H137</x:f>
        <x:v>37</x:v>
      </x:c>
      <x:c r="H116" s="26" t="n">
        <x:f>'02_Экземпляры'!F19</x:f>
        <x:v>1</x:v>
      </x:c>
      <x:c r="I116" s="26" t="n">
        <x:f>1</x:f>
        <x:v>1</x:v>
      </x:c>
      <x:c r="J116" s="26" t="n">
        <x:f>G116*H116*I116</x:f>
        <x:v>37</x:v>
      </x:c>
      <x:c r="K116" s="26" t="n">
        <x:f>IF('03_Спец_РД'!I137="","",'03_Спец_РД'!I137)</x:f>
        <x:v>0.7</x:v>
      </x:c>
      <x:c r="L116" s="26" t="n">
        <x:f>IF(K116="","",J116*K116)</x:f>
        <x:v>25.9</x:v>
      </x:c>
      <x:c r="M116" s="23" t="str">
        <x:v>Арматура</x:v>
      </x:c>
      <x:c r="N116" s="23" t="str">
        <x:v>АС.2 л.69; PDF 79</x:v>
      </x:c>
      <x:c r="O116" s="23" t="str">
        <x:v>S69_Пп-1_Ф-1</x:v>
      </x:c>
      <x:c r="P116" s="23" t="str">
        <x:v>Раскладка/отметки/объём не согласованы — RFI-L02.</x:v>
      </x:c>
      <x:c r="Q116" s="26" t="n">
        <x:f>IF('03_Спец_РД'!N137="","",'03_Спец_РД'!N137)</x:f>
        <x:v>1130</x:v>
      </x:c>
      <x:c r="R116" s="26" t="n">
        <x:f>IF(F116="м",J116,IF(Q116="","",J116*Q116/1000))</x:f>
        <x:v>41.81</x:v>
      </x:c>
    </x:row>
    <x:row r="117" ht="54" customHeight="1">
      <x:c r="A117" s="23" t="str">
        <x:v>L1_Пп-1_RF/Бетон</x:v>
      </x:c>
      <x:c r="B117" s="23" t="str">
        <x:v>RF</x:v>
      </x:c>
      <x:c r="C117" s="23" t="str">
        <x:v>Пп-1</x:v>
      </x:c>
      <x:c r="D117" s="23" t="str">
        <x:v>Бетон</x:v>
      </x:c>
      <x:c r="E117" s="23" t="str">
        <x:v>Тяжёлый бетон В25; ГОСТ 26633-2015</x:v>
      </x:c>
      <x:c r="F117" s="23" t="str">
        <x:v>м³</x:v>
      </x:c>
      <x:c r="G117" s="26" t="n">
        <x:f>'03_Спец_РД'!H138</x:f>
        <x:v>4.7</x:v>
      </x:c>
      <x:c r="H117" s="26" t="n">
        <x:f>'02_Экземпляры'!F19</x:f>
        <x:v>1</x:v>
      </x:c>
      <x:c r="I117" s="26" t="n">
        <x:f>1</x:f>
        <x:v>1</x:v>
      </x:c>
      <x:c r="J117" s="26" t="n">
        <x:f>G117*H117*I117</x:f>
        <x:v>4.7</x:v>
      </x:c>
      <x:c r="K117" s="26" t="str">
        <x:f>IF('03_Спец_РД'!I138="","",'03_Спец_РД'!I138)</x:f>
      </x:c>
      <x:c r="L117" s="26" t="str">
        <x:f>IF(K117="","",J117*K117)</x:f>
      </x:c>
      <x:c r="M117" s="23" t="str">
        <x:v>Бетон В25</x:v>
      </x:c>
      <x:c r="N117" s="23" t="str">
        <x:v>АС.2 л.69; PDF 79</x:v>
      </x:c>
      <x:c r="O117" s="23" t="str">
        <x:v>S69_Пп-1_Бетон</x:v>
      </x:c>
      <x:c r="P117" s="23" t="str">
        <x:v>Исходные 4,7 м³ сохранены. Геометрическая проверка не заменяет РД.</x:v>
      </x:c>
      <x:c r="Q117" s="26" t="str">
        <x:f>IF('03_Спец_РД'!N138="","",'03_Спец_РД'!N138)</x:f>
      </x:c>
      <x:c r="R117" s="26" t="str">
        <x:f>IF(F117="м",J117,IF(Q117="","",J117*Q117/1000))</x:f>
      </x:c>
    </x:row>
    <x:row r="118" ht="54" customHeight="1">
      <x:c r="A118" s="23" t="str">
        <x:v>L1_КС1_F1/1</x:v>
      </x:c>
      <x:c r="B118" s="23" t="str">
        <x:v>F1</x:v>
      </x:c>
      <x:c r="C118" s="23" t="str">
        <x:v>КС1</x:v>
      </x:c>
      <x:c r="D118" s="23" t="str">
        <x:v>1</x:v>
      </x:c>
      <x:c r="E118" s="23" t="str">
        <x:v>Швеллер 22П; С245; ГОСТ 8240-97; L=3230 мм</x:v>
      </x:c>
      <x:c r="F118" s="23" t="str">
        <x:v>шт</x:v>
      </x:c>
      <x:c r="G118" s="26" t="n">
        <x:f>'03_Спец_РД'!H55</x:f>
        <x:v>1</x:v>
      </x:c>
      <x:c r="H118" s="26" t="n">
        <x:f>'02_Экземпляры'!F20</x:f>
        <x:v>2</x:v>
      </x:c>
      <x:c r="I118" s="26" t="n">
        <x:f>1</x:f>
        <x:v>1</x:v>
      </x:c>
      <x:c r="J118" s="26" t="n">
        <x:f>G118*H118*I118</x:f>
        <x:v>2</x:v>
      </x:c>
      <x:c r="K118" s="26" t="n">
        <x:f>IF('03_Спец_РД'!I55="","",'03_Спец_РД'!I55)</x:f>
        <x:v>67.83</x:v>
      </x:c>
      <x:c r="L118" s="26" t="n">
        <x:f>IF(K118="","",J118*K118)</x:f>
        <x:v>135.66</x:v>
      </x:c>
      <x:c r="M118" s="23" t="str">
        <x:v>Металлопрокат</x:v>
      </x:c>
      <x:c r="N118" s="23" t="str">
        <x:v>АС.2 л.59; PDF 69</x:v>
      </x:c>
      <x:c r="O118" s="23" t="str">
        <x:v>S59_КС1_1</x:v>
      </x:c>
      <x:c r="P118" s="23" t="str">
        <x:v>Парные т/н; изготовление зеркальное; Габарит монтажа и длина заготовки не тождественны. Для КС1 см. RFI-L05.</x:v>
      </x:c>
      <x:c r="Q118" s="26" t="n">
        <x:f>IF('03_Спец_РД'!N55="","",'03_Спец_РД'!N55)</x:f>
        <x:v>3230</x:v>
      </x:c>
      <x:c r="R118" s="26" t="n">
        <x:f>IF(F118="м",J118,IF(Q118="","",J118*Q118/1000))</x:f>
        <x:v>6.46</x:v>
      </x:c>
    </x:row>
    <x:row r="119" ht="54" customHeight="1">
      <x:c r="A119" s="23" t="str">
        <x:v>L1_КС1_F1/2</x:v>
      </x:c>
      <x:c r="B119" s="23" t="str">
        <x:v>F1</x:v>
      </x:c>
      <x:c r="C119" s="23" t="str">
        <x:v>КС1</x:v>
      </x:c>
      <x:c r="D119" s="23" t="str">
        <x:v>2</x:v>
      </x:c>
      <x:c r="E119" s="23" t="str">
        <x:v>Уголок 75×8; С245; ГОСТ 8509-93; L=130 мм</x:v>
      </x:c>
      <x:c r="F119" s="23" t="str">
        <x:v>шт</x:v>
      </x:c>
      <x:c r="G119" s="26" t="n">
        <x:f>'03_Спец_РД'!H56</x:f>
        <x:v>1</x:v>
      </x:c>
      <x:c r="H119" s="26" t="n">
        <x:f>'02_Экземпляры'!F20</x:f>
        <x:v>2</x:v>
      </x:c>
      <x:c r="I119" s="26" t="n">
        <x:f>1</x:f>
        <x:v>1</x:v>
      </x:c>
      <x:c r="J119" s="26" t="n">
        <x:f>G119*H119*I119</x:f>
        <x:v>2</x:v>
      </x:c>
      <x:c r="K119" s="26" t="n">
        <x:f>IF('03_Спец_РД'!I56="","",'03_Спец_РД'!I56)</x:f>
        <x:v>1.17</x:v>
      </x:c>
      <x:c r="L119" s="26" t="n">
        <x:f>IF(K119="","",J119*K119)</x:f>
        <x:v>2.34</x:v>
      </x:c>
      <x:c r="M119" s="23" t="str">
        <x:v>Металлопрокат</x:v>
      </x:c>
      <x:c r="N119" s="23" t="str">
        <x:v>АС.2 л.59; PDF 69</x:v>
      </x:c>
      <x:c r="O119" s="23" t="str">
        <x:v>S59_КС1_2</x:v>
      </x:c>
      <x:c r="P119" s="23" t="str">
        <x:v>Парные т/н; изготовление зеркальное</x:v>
      </x:c>
      <x:c r="Q119" s="26" t="n">
        <x:f>IF('03_Спец_РД'!N56="","",'03_Спец_РД'!N56)</x:f>
        <x:v>130</x:v>
      </x:c>
      <x:c r="R119" s="26" t="n">
        <x:f>IF(F119="м",J119,IF(Q119="","",J119*Q119/1000))</x:f>
        <x:v>0.26</x:v>
      </x:c>
    </x:row>
    <x:row r="120" ht="54" customHeight="1">
      <x:c r="A120" s="23" t="str">
        <x:v>L1_КС1_F1/3</x:v>
      </x:c>
      <x:c r="B120" s="23" t="str">
        <x:v>F1</x:v>
      </x:c>
      <x:c r="C120" s="23" t="str">
        <x:v>КС1</x:v>
      </x:c>
      <x:c r="D120" s="23" t="str">
        <x:v>3</x:v>
      </x:c>
      <x:c r="E120" s="23" t="str">
        <x:v>Лист 10×200; С245; ГОСТ 19903-2015; L=580 мм</x:v>
      </x:c>
      <x:c r="F120" s="23" t="str">
        <x:v>шт</x:v>
      </x:c>
      <x:c r="G120" s="26" t="n">
        <x:f>'03_Спец_РД'!H57</x:f>
        <x:v>1</x:v>
      </x:c>
      <x:c r="H120" s="26" t="n">
        <x:f>'02_Экземпляры'!F20</x:f>
        <x:v>2</x:v>
      </x:c>
      <x:c r="I120" s="26" t="n">
        <x:f>1</x:f>
        <x:v>1</x:v>
      </x:c>
      <x:c r="J120" s="26" t="n">
        <x:f>G120*H120*I120</x:f>
        <x:v>2</x:v>
      </x:c>
      <x:c r="K120" s="26" t="n">
        <x:f>IF('03_Спец_РД'!I57="","",'03_Спец_РД'!I57)</x:f>
        <x:v>45.53</x:v>
      </x:c>
      <x:c r="L120" s="26" t="n">
        <x:f>IF(K120="","",J120*K120)</x:f>
        <x:v>91.06</x:v>
      </x:c>
      <x:c r="M120" s="23" t="str">
        <x:v>Металлопрокат</x:v>
      </x:c>
      <x:c r="N120" s="23" t="str">
        <x:v>АС.2 л.59; PDF 69</x:v>
      </x:c>
      <x:c r="O120" s="23" t="str">
        <x:v>S59_КС1_3</x:v>
      </x:c>
      <x:c r="P120" s="23" t="str">
        <x:v>Парные т/н; изготовление зеркальное; 45,53 кг сохранено по РД. Проверить массу пластины — RFI-L05.</x:v>
      </x:c>
      <x:c r="Q120" s="26" t="n">
        <x:f>IF('03_Спец_РД'!N57="","",'03_Спец_РД'!N57)</x:f>
        <x:v>580</x:v>
      </x:c>
      <x:c r="R120" s="26" t="n">
        <x:f>IF(F120="м",J120,IF(Q120="","",J120*Q120/1000))</x:f>
        <x:v>1.16</x:v>
      </x:c>
    </x:row>
    <x:row r="121" ht="54" customHeight="1">
      <x:c r="A121" s="23" t="str">
        <x:v>L1_КС1_F1/4</x:v>
      </x:c>
      <x:c r="B121" s="23" t="str">
        <x:v>F1</x:v>
      </x:c>
      <x:c r="C121" s="23" t="str">
        <x:v>КС1</x:v>
      </x:c>
      <x:c r="D121" s="23" t="str">
        <x:v>4</x:v>
      </x:c>
      <x:c r="E121" s="23" t="str">
        <x:v>Уголок 40×5; С245; ГОСТ 8509-93; L=80 мм</x:v>
      </x:c>
      <x:c r="F121" s="23" t="str">
        <x:v>шт</x:v>
      </x:c>
      <x:c r="G121" s="26" t="n">
        <x:f>'03_Спец_РД'!H58</x:f>
        <x:v>1</x:v>
      </x:c>
      <x:c r="H121" s="26" t="n">
        <x:f>'02_Экземпляры'!F20</x:f>
        <x:v>2</x:v>
      </x:c>
      <x:c r="I121" s="26" t="n">
        <x:f>1</x:f>
        <x:v>1</x:v>
      </x:c>
      <x:c r="J121" s="26" t="n">
        <x:f>G121*H121*I121</x:f>
        <x:v>2</x:v>
      </x:c>
      <x:c r="K121" s="26" t="n">
        <x:f>IF('03_Спец_РД'!I58="","",'03_Спец_РД'!I58)</x:f>
        <x:v>0.24</x:v>
      </x:c>
      <x:c r="L121" s="26" t="n">
        <x:f>IF(K121="","",J121*K121)</x:f>
        <x:v>0.48</x:v>
      </x:c>
      <x:c r="M121" s="23" t="str">
        <x:v>Металлопрокат</x:v>
      </x:c>
      <x:c r="N121" s="23" t="str">
        <x:v>АС.2 л.59; PDF 69</x:v>
      </x:c>
      <x:c r="O121" s="23" t="str">
        <x:v>S59_КС1_4</x:v>
      </x:c>
      <x:c r="P121" s="23" t="str">
        <x:v>Парные т/н; изготовление зеркальное</x:v>
      </x:c>
      <x:c r="Q121" s="26" t="n">
        <x:f>IF('03_Спец_РД'!N58="","",'03_Спец_РД'!N58)</x:f>
        <x:v>80</x:v>
      </x:c>
      <x:c r="R121" s="26" t="n">
        <x:f>IF(F121="м",J121,IF(Q121="","",J121*Q121/1000))</x:f>
        <x:v>0.16</x:v>
      </x:c>
    </x:row>
    <x:row r="122" ht="54" customHeight="1">
      <x:c r="A122" s="23" t="str">
        <x:v>L1_КС2_F1/5</x:v>
      </x:c>
      <x:c r="B122" s="23" t="str">
        <x:v>F1</x:v>
      </x:c>
      <x:c r="C122" s="23" t="str">
        <x:v>КС2</x:v>
      </x:c>
      <x:c r="D122" s="23" t="str">
        <x:v>5</x:v>
      </x:c>
      <x:c r="E122" s="23" t="str">
        <x:v>Швеллер 22П; С245; ГОСТ 8240-97; L=4150 мм</x:v>
      </x:c>
      <x:c r="F122" s="23" t="str">
        <x:v>шт</x:v>
      </x:c>
      <x:c r="G122" s="26" t="n">
        <x:f>'03_Спец_РД'!H59</x:f>
        <x:v>1</x:v>
      </x:c>
      <x:c r="H122" s="26" t="n">
        <x:f>'02_Экземпляры'!F21</x:f>
        <x:v>2</x:v>
      </x:c>
      <x:c r="I122" s="26" t="n">
        <x:f>1</x:f>
        <x:v>1</x:v>
      </x:c>
      <x:c r="J122" s="26" t="n">
        <x:f>G122*H122*I122</x:f>
        <x:v>2</x:v>
      </x:c>
      <x:c r="K122" s="26" t="n">
        <x:f>IF('03_Спец_РД'!I59="","",'03_Спец_РД'!I59)</x:f>
        <x:v>87.15</x:v>
      </x:c>
      <x:c r="L122" s="26" t="n">
        <x:f>IF(K122="","",J122*K122)</x:f>
        <x:v>174.3</x:v>
      </x:c>
      <x:c r="M122" s="23" t="str">
        <x:v>Металлопрокат</x:v>
      </x:c>
      <x:c r="N122" s="23" t="str">
        <x:v>АС.2 л.59; PDF 69</x:v>
      </x:c>
      <x:c r="O122" s="23" t="str">
        <x:v>S59_КС2_5</x:v>
      </x:c>
      <x:c r="P122" s="23" t="str">
        <x:v>Парные т/н; изготовление зеркальное; Габарит монтажа и длина заготовки не тождественны. Для КС1 см. RFI-L05.</x:v>
      </x:c>
      <x:c r="Q122" s="26" t="n">
        <x:f>IF('03_Спец_РД'!N59="","",'03_Спец_РД'!N59)</x:f>
        <x:v>4150</x:v>
      </x:c>
      <x:c r="R122" s="26" t="n">
        <x:f>IF(F122="м",J122,IF(Q122="","",J122*Q122/1000))</x:f>
        <x:v>8.3</x:v>
      </x:c>
    </x:row>
    <x:row r="123" ht="54" customHeight="1">
      <x:c r="A123" s="23" t="str">
        <x:v>L1_КС2_F1/2</x:v>
      </x:c>
      <x:c r="B123" s="23" t="str">
        <x:v>F1</x:v>
      </x:c>
      <x:c r="C123" s="23" t="str">
        <x:v>КС2</x:v>
      </x:c>
      <x:c r="D123" s="23" t="str">
        <x:v>2</x:v>
      </x:c>
      <x:c r="E123" s="23" t="str">
        <x:v>Уголок 75×8; С245; ГОСТ 8509-93; L=130 мм</x:v>
      </x:c>
      <x:c r="F123" s="23" t="str">
        <x:v>шт</x:v>
      </x:c>
      <x:c r="G123" s="26" t="n">
        <x:f>'03_Спец_РД'!H60</x:f>
        <x:v>2</x:v>
      </x:c>
      <x:c r="H123" s="26" t="n">
        <x:f>'02_Экземпляры'!F21</x:f>
        <x:v>2</x:v>
      </x:c>
      <x:c r="I123" s="26" t="n">
        <x:f>1</x:f>
        <x:v>1</x:v>
      </x:c>
      <x:c r="J123" s="26" t="n">
        <x:f>G123*H123*I123</x:f>
        <x:v>4</x:v>
      </x:c>
      <x:c r="K123" s="26" t="n">
        <x:f>IF('03_Спец_РД'!I60="","",'03_Спец_РД'!I60)</x:f>
        <x:v>1.17</x:v>
      </x:c>
      <x:c r="L123" s="26" t="n">
        <x:f>IF(K123="","",J123*K123)</x:f>
        <x:v>4.68</x:v>
      </x:c>
      <x:c r="M123" s="23" t="str">
        <x:v>Металлопрокат</x:v>
      </x:c>
      <x:c r="N123" s="23" t="str">
        <x:v>АС.2 л.59; PDF 69</x:v>
      </x:c>
      <x:c r="O123" s="23" t="str">
        <x:v>S59_КС2_2</x:v>
      </x:c>
      <x:c r="P123" s="23" t="str">
        <x:v>Парные т/н; изготовление зеркальное</x:v>
      </x:c>
      <x:c r="Q123" s="26" t="n">
        <x:f>IF('03_Спец_РД'!N60="","",'03_Спец_РД'!N60)</x:f>
        <x:v>130</x:v>
      </x:c>
      <x:c r="R123" s="26" t="n">
        <x:f>IF(F123="м",J123,IF(Q123="","",J123*Q123/1000))</x:f>
        <x:v>0.52</x:v>
      </x:c>
    </x:row>
    <x:row r="124" ht="54" customHeight="1">
      <x:c r="A124" s="23" t="str">
        <x:v>L1_КС2_F1/4</x:v>
      </x:c>
      <x:c r="B124" s="23" t="str">
        <x:v>F1</x:v>
      </x:c>
      <x:c r="C124" s="23" t="str">
        <x:v>КС2</x:v>
      </x:c>
      <x:c r="D124" s="23" t="str">
        <x:v>4</x:v>
      </x:c>
      <x:c r="E124" s="23" t="str">
        <x:v>Уголок 40×5; С245; ГОСТ 8509-93; L=80 мм</x:v>
      </x:c>
      <x:c r="F124" s="23" t="str">
        <x:v>шт</x:v>
      </x:c>
      <x:c r="G124" s="26" t="n">
        <x:f>'03_Спец_РД'!H61</x:f>
        <x:v>1</x:v>
      </x:c>
      <x:c r="H124" s="26" t="n">
        <x:f>'02_Экземпляры'!F21</x:f>
        <x:v>2</x:v>
      </x:c>
      <x:c r="I124" s="26" t="n">
        <x:f>1</x:f>
        <x:v>1</x:v>
      </x:c>
      <x:c r="J124" s="26" t="n">
        <x:f>G124*H124*I124</x:f>
        <x:v>2</x:v>
      </x:c>
      <x:c r="K124" s="26" t="n">
        <x:f>IF('03_Спец_РД'!I61="","",'03_Спец_РД'!I61)</x:f>
        <x:v>0.24</x:v>
      </x:c>
      <x:c r="L124" s="26" t="n">
        <x:f>IF(K124="","",J124*K124)</x:f>
        <x:v>0.48</x:v>
      </x:c>
      <x:c r="M124" s="23" t="str">
        <x:v>Металлопрокат</x:v>
      </x:c>
      <x:c r="N124" s="23" t="str">
        <x:v>АС.2 л.59; PDF 69</x:v>
      </x:c>
      <x:c r="O124" s="23" t="str">
        <x:v>S59_КС2_4</x:v>
      </x:c>
      <x:c r="P124" s="23" t="str">
        <x:v>Парные т/н; изготовление зеркальное</x:v>
      </x:c>
      <x:c r="Q124" s="26" t="n">
        <x:f>IF('03_Спец_РД'!N61="","",'03_Спец_РД'!N61)</x:f>
        <x:v>80</x:v>
      </x:c>
      <x:c r="R124" s="26" t="n">
        <x:f>IF(F124="м",J124,IF(Q124="","",J124*Q124/1000))</x:f>
        <x:v>0.16</x:v>
      </x:c>
    </x:row>
    <x:row r="125" ht="54" customHeight="1">
      <x:c r="A125" s="23" t="str">
        <x:v>L1_МБ1_F1/1</x:v>
      </x:c>
      <x:c r="B125" s="23" t="str">
        <x:v>F1</x:v>
      </x:c>
      <x:c r="C125" s="23" t="str">
        <x:v>МБ1</x:v>
      </x:c>
      <x:c r="D125" s="23" t="str">
        <x:v>1</x:v>
      </x:c>
      <x:c r="E125" s="23" t="str">
        <x:v>Швеллер 27П; С245; ГОСТ 8240-97; L=2830 мм</x:v>
      </x:c>
      <x:c r="F125" s="23" t="str">
        <x:v>шт</x:v>
      </x:c>
      <x:c r="G125" s="26" t="n">
        <x:f>'03_Спец_РД'!H49</x:f>
        <x:v>1</x:v>
      </x:c>
      <x:c r="H125" s="26" t="n">
        <x:f>'02_Экземпляры'!F22</x:f>
        <x:v>2</x:v>
      </x:c>
      <x:c r="I125" s="26" t="n">
        <x:f>1</x:f>
        <x:v>1</x:v>
      </x:c>
      <x:c r="J125" s="26" t="n">
        <x:f>G125*H125*I125</x:f>
        <x:v>2</x:v>
      </x:c>
      <x:c r="K125" s="26" t="n">
        <x:f>IF('03_Спец_РД'!I49="","",'03_Спец_РД'!I49)</x:f>
        <x:v>78.39</x:v>
      </x:c>
      <x:c r="L125" s="26" t="n">
        <x:f>IF(K125="","",J125*K125)</x:f>
        <x:v>156.78</x:v>
      </x:c>
      <x:c r="M125" s="23" t="str">
        <x:v>Металлопрокат</x:v>
      </x:c>
      <x:c r="N125" s="23" t="str">
        <x:v>АС.2 л.57; PDF 67</x:v>
      </x:c>
      <x:c r="O125" s="23" t="str">
        <x:v>S57_МБ1_1</x:v>
      </x:c>
      <x:c r="P125" s="23" t="str"/>
      <x:c r="Q125" s="26" t="n">
        <x:f>IF('03_Спец_РД'!N49="","",'03_Спец_РД'!N49)</x:f>
        <x:v>2830</x:v>
      </x:c>
      <x:c r="R125" s="26" t="n">
        <x:f>IF(F125="м",J125,IF(Q125="","",J125*Q125/1000))</x:f>
        <x:v>5.66</x:v>
      </x:c>
    </x:row>
    <x:row r="126" ht="54" customHeight="1">
      <x:c r="A126" s="23" t="str">
        <x:v>L1_МБ1_F1/2</x:v>
      </x:c>
      <x:c r="B126" s="23" t="str">
        <x:v>F1</x:v>
      </x:c>
      <x:c r="C126" s="23" t="str">
        <x:v>МБ1</x:v>
      </x:c>
      <x:c r="D126" s="23" t="str">
        <x:v>2</x:v>
      </x:c>
      <x:c r="E126" s="23" t="str">
        <x:v>Уголок 100×7; С245; ГОСТ 8509-93; L=200 мм</x:v>
      </x:c>
      <x:c r="F126" s="23" t="str">
        <x:v>шт</x:v>
      </x:c>
      <x:c r="G126" s="26" t="n">
        <x:f>'03_Спец_РД'!H50</x:f>
        <x:v>2</x:v>
      </x:c>
      <x:c r="H126" s="26" t="n">
        <x:f>'02_Экземпляры'!F22</x:f>
        <x:v>2</x:v>
      </x:c>
      <x:c r="I126" s="26" t="n">
        <x:f>1</x:f>
        <x:v>1</x:v>
      </x:c>
      <x:c r="J126" s="26" t="n">
        <x:f>G126*H126*I126</x:f>
        <x:v>4</x:v>
      </x:c>
      <x:c r="K126" s="26" t="n">
        <x:f>IF('03_Спец_РД'!I50="","",'03_Спец_РД'!I50)</x:f>
        <x:v>2.16</x:v>
      </x:c>
      <x:c r="L126" s="26" t="n">
        <x:f>IF(K126="","",J126*K126)</x:f>
        <x:v>8.64</x:v>
      </x:c>
      <x:c r="M126" s="23" t="str">
        <x:v>Металлопрокат</x:v>
      </x:c>
      <x:c r="N126" s="23" t="str">
        <x:v>АС.2 л.57; PDF 67</x:v>
      </x:c>
      <x:c r="O126" s="23" t="str">
        <x:v>S57_МБ1_2</x:v>
      </x:c>
      <x:c r="P126" s="23" t="str"/>
      <x:c r="Q126" s="26" t="n">
        <x:f>IF('03_Спец_РД'!N50="","",'03_Спец_РД'!N50)</x:f>
        <x:v>200</x:v>
      </x:c>
      <x:c r="R126" s="26" t="n">
        <x:f>IF(F126="м",J126,IF(Q126="","",J126*Q126/1000))</x:f>
        <x:v>0.8</x:v>
      </x:c>
    </x:row>
    <x:row r="127" ht="54" customHeight="1">
      <x:c r="A127" s="23" t="str">
        <x:v>L1_МБ2_F1/1</x:v>
      </x:c>
      <x:c r="B127" s="23" t="str">
        <x:v>F1</x:v>
      </x:c>
      <x:c r="C127" s="23" t="str">
        <x:v>МБ2</x:v>
      </x:c>
      <x:c r="D127" s="23" t="str">
        <x:v>1</x:v>
      </x:c>
      <x:c r="E127" s="23" t="str">
        <x:v>Швеллер 27П; С245; ГОСТ 8240-97; L=2830 мм</x:v>
      </x:c>
      <x:c r="F127" s="23" t="str">
        <x:v>шт</x:v>
      </x:c>
      <x:c r="G127" s="26" t="n">
        <x:f>'03_Спец_РД'!H51</x:f>
        <x:v>1</x:v>
      </x:c>
      <x:c r="H127" s="26" t="n">
        <x:f>'02_Экземпляры'!F23</x:f>
        <x:v>1</x:v>
      </x:c>
      <x:c r="I127" s="26" t="n">
        <x:f>1</x:f>
        <x:v>1</x:v>
      </x:c>
      <x:c r="J127" s="26" t="n">
        <x:f>G127*H127*I127</x:f>
        <x:v>1</x:v>
      </x:c>
      <x:c r="K127" s="26" t="n">
        <x:f>IF('03_Спец_РД'!I51="","",'03_Спец_РД'!I51)</x:f>
        <x:v>78.39</x:v>
      </x:c>
      <x:c r="L127" s="26" t="n">
        <x:f>IF(K127="","",J127*K127)</x:f>
        <x:v>78.39</x:v>
      </x:c>
      <x:c r="M127" s="23" t="str">
        <x:v>Металлопрокат</x:v>
      </x:c>
      <x:c r="N127" s="23" t="str">
        <x:v>АС.2 л.57; PDF 67</x:v>
      </x:c>
      <x:c r="O127" s="23" t="str">
        <x:v>S57_МБ2_1</x:v>
      </x:c>
      <x:c r="P127" s="23" t="str"/>
      <x:c r="Q127" s="26" t="n">
        <x:f>IF('03_Спец_РД'!N51="","",'03_Спец_РД'!N51)</x:f>
        <x:v>2830</x:v>
      </x:c>
      <x:c r="R127" s="26" t="n">
        <x:f>IF(F127="м",J127,IF(Q127="","",J127*Q127/1000))</x:f>
        <x:v>2.83</x:v>
      </x:c>
    </x:row>
    <x:row r="128" ht="54" customHeight="1">
      <x:c r="A128" s="23" t="str">
        <x:v>L1_МБ2_F1/2</x:v>
      </x:c>
      <x:c r="B128" s="23" t="str">
        <x:v>F1</x:v>
      </x:c>
      <x:c r="C128" s="23" t="str">
        <x:v>МБ2</x:v>
      </x:c>
      <x:c r="D128" s="23" t="str">
        <x:v>2</x:v>
      </x:c>
      <x:c r="E128" s="23" t="str">
        <x:v>Уголок 100×7; С245; ГОСТ 8509-93; L=200 мм</x:v>
      </x:c>
      <x:c r="F128" s="23" t="str">
        <x:v>шт</x:v>
      </x:c>
      <x:c r="G128" s="26" t="n">
        <x:f>'03_Спец_РД'!H52</x:f>
        <x:v>2</x:v>
      </x:c>
      <x:c r="H128" s="26" t="n">
        <x:f>'02_Экземпляры'!F23</x:f>
        <x:v>1</x:v>
      </x:c>
      <x:c r="I128" s="26" t="n">
        <x:f>1</x:f>
        <x:v>1</x:v>
      </x:c>
      <x:c r="J128" s="26" t="n">
        <x:f>G128*H128*I128</x:f>
        <x:v>2</x:v>
      </x:c>
      <x:c r="K128" s="26" t="n">
        <x:f>IF('03_Спец_РД'!I52="","",'03_Спец_РД'!I52)</x:f>
        <x:v>2.16</x:v>
      </x:c>
      <x:c r="L128" s="26" t="n">
        <x:f>IF(K128="","",J128*K128)</x:f>
        <x:v>4.32</x:v>
      </x:c>
      <x:c r="M128" s="23" t="str">
        <x:v>Металлопрокат</x:v>
      </x:c>
      <x:c r="N128" s="23" t="str">
        <x:v>АС.2 л.57; PDF 67</x:v>
      </x:c>
      <x:c r="O128" s="23" t="str">
        <x:v>S57_МБ2_2</x:v>
      </x:c>
      <x:c r="P128" s="23" t="str"/>
      <x:c r="Q128" s="26" t="n">
        <x:f>IF('03_Спец_РД'!N52="","",'03_Спец_РД'!N52)</x:f>
        <x:v>200</x:v>
      </x:c>
      <x:c r="R128" s="26" t="n">
        <x:f>IF(F128="м",J128,IF(Q128="","",J128*Q128/1000))</x:f>
        <x:v>0.4</x:v>
      </x:c>
    </x:row>
    <x:row r="129" ht="54" customHeight="1">
      <x:c r="A129" s="23" t="str">
        <x:v>L1_ЛС1_F1/Изделие</x:v>
      </x:c>
      <x:c r="B129" s="23" t="str">
        <x:v>F1</x:v>
      </x:c>
      <x:c r="C129" s="23" t="str">
        <x:v>ЛС1</x:v>
      </x:c>
      <x:c r="D129" s="23" t="str">
        <x:v>Изделие</x:v>
      </x:c>
      <x:c r="E129" s="23" t="str">
        <x:v>Ступень ЛС12; ГОСТ 8717-2016</x:v>
      </x:c>
      <x:c r="F129" s="23" t="str">
        <x:v>шт</x:v>
      </x:c>
      <x:c r="G129" s="26" t="n">
        <x:f>'03_Спец_РД'!H139</x:f>
        <x:v>1</x:v>
      </x:c>
      <x:c r="H129" s="26" t="n">
        <x:f>'02_Экземпляры'!F24</x:f>
        <x:v>22</x:v>
      </x:c>
      <x:c r="I129" s="26" t="n">
        <x:f>1</x:f>
        <x:v>1</x:v>
      </x:c>
      <x:c r="J129" s="26" t="n">
        <x:f>G129*H129*I129</x:f>
        <x:v>22</x:v>
      </x:c>
      <x:c r="K129" s="26" t="n">
        <x:f>IF('03_Спец_РД'!I139="","",'03_Спец_РД'!I139)</x:f>
        <x:v>128</x:v>
      </x:c>
      <x:c r="L129" s="26" t="n">
        <x:f>IF(K129="","",J129*K129)</x:f>
        <x:v>2816</x:v>
      </x:c>
      <x:c r="M129" s="23" t="str">
        <x:v>Сборный ЖБИ</x:v>
      </x:c>
      <x:c r="N129" s="23" t="str">
        <x:v>АС.2 л.56; PDF 66</x:v>
      </x:c>
      <x:c r="O129" s="23" t="str">
        <x:v>S56_ЛС1_Изделие</x:v>
      </x:c>
      <x:c r="P129" s="23" t="str">
        <x:v>Разбивка ЛС1 по геометрии: 11+11;11+11;13+13. Общий итог 70 — л.56.; Единица изделия; количество применяется по реестру экземпляров. Геометрия изделий габаритная.</x:v>
      </x:c>
      <x:c r="Q129" s="26" t="str">
        <x:f>IF('03_Спец_РД'!N139="","",'03_Спец_РД'!N139)</x:f>
      </x:c>
      <x:c r="R129" s="26" t="str">
        <x:f>IF(F129="м",J129,IF(Q129="","",J129*Q129/1000))</x:f>
      </x:c>
    </x:row>
    <x:row r="130" ht="54" customHeight="1">
      <x:c r="A130" s="23" t="str">
        <x:v>L1_ОП1_F1/Изделие</x:v>
      </x:c>
      <x:c r="B130" s="23" t="str">
        <x:v>F1</x:v>
      </x:c>
      <x:c r="C130" s="23" t="str">
        <x:v>ОП1</x:v>
      </x:c>
      <x:c r="D130" s="23" t="str">
        <x:v>Изделие</x:v>
      </x:c>
      <x:c r="E130" s="23" t="str">
        <x:v>Опорная подушка ОП1; серия 1.069-1, вып.1</x:v>
      </x:c>
      <x:c r="F130" s="23" t="str">
        <x:v>шт</x:v>
      </x:c>
      <x:c r="G130" s="26" t="n">
        <x:f>'03_Спец_РД'!H140</x:f>
        <x:v>1</x:v>
      </x:c>
      <x:c r="H130" s="26" t="n">
        <x:f>'02_Экземпляры'!F25</x:f>
        <x:v>6</x:v>
      </x:c>
      <x:c r="I130" s="26" t="n">
        <x:f>1</x:f>
        <x:v>1</x:v>
      </x:c>
      <x:c r="J130" s="26" t="n">
        <x:f>G130*H130*I130</x:f>
        <x:v>6</x:v>
      </x:c>
      <x:c r="K130" s="26" t="n">
        <x:f>IF('03_Спец_РД'!I140="","",'03_Спец_РД'!I140)</x:f>
        <x:v>33</x:v>
      </x:c>
      <x:c r="L130" s="26" t="n">
        <x:f>IF(K130="","",J130*K130)</x:f>
        <x:v>198</x:v>
      </x:c>
      <x:c r="M130" s="23" t="str">
        <x:v>Сборный ЖБИ</x:v>
      </x:c>
      <x:c r="N130" s="23" t="str">
        <x:v>АС.2 л.56; PDF 66</x:v>
      </x:c>
      <x:c r="O130" s="23" t="str">
        <x:v>S56_ОП1_Изделие</x:v>
      </x:c>
      <x:c r="P130" s="23" t="str">
        <x:v>Единица изделия; количество применяется по реестру экземпляров. Геометрия изделий габаритная.</x:v>
      </x:c>
      <x:c r="Q130" s="26" t="str">
        <x:f>IF('03_Спец_РД'!N140="","",'03_Спец_РД'!N140)</x:f>
      </x:c>
      <x:c r="R130" s="26" t="str">
        <x:f>IF(F130="м",J130,IF(Q130="","",J130*Q130/1000))</x:f>
      </x:c>
    </x:row>
    <x:row r="131" ht="54" customHeight="1">
      <x:c r="A131" s="23" t="str">
        <x:v>L1_ПР1_F1/Изделие</x:v>
      </x:c>
      <x:c r="B131" s="23" t="str">
        <x:v>F1</x:v>
      </x:c>
      <x:c r="C131" s="23" t="str">
        <x:v>ПР1</x:v>
      </x:c>
      <x:c r="D131" s="23" t="str">
        <x:v>Изделие</x:v>
      </x:c>
      <x:c r="E131" s="23" t="str">
        <x:v>Перемычка 3ПБ18-8; серия 1.038-1, вып.1</x:v>
      </x:c>
      <x:c r="F131" s="23" t="str">
        <x:v>шт</x:v>
      </x:c>
      <x:c r="G131" s="26" t="n">
        <x:f>'03_Спец_РД'!H141</x:f>
        <x:v>1</x:v>
      </x:c>
      <x:c r="H131" s="26" t="n">
        <x:f>'02_Экземпляры'!F26</x:f>
        <x:v>2</x:v>
      </x:c>
      <x:c r="I131" s="26" t="n">
        <x:f>1</x:f>
        <x:v>1</x:v>
      </x:c>
      <x:c r="J131" s="26" t="n">
        <x:f>G131*H131*I131</x:f>
        <x:v>2</x:v>
      </x:c>
      <x:c r="K131" s="26" t="n">
        <x:f>IF('03_Спец_РД'!I141="","",'03_Спец_РД'!I141)</x:f>
        <x:v>119</x:v>
      </x:c>
      <x:c r="L131" s="26" t="n">
        <x:f>IF(K131="","",J131*K131)</x:f>
        <x:v>238</x:v>
      </x:c>
      <x:c r="M131" s="23" t="str">
        <x:v>Сборный ЖБИ</x:v>
      </x:c>
      <x:c r="N131" s="23" t="str">
        <x:v>АС.2 л.56; PDF 66</x:v>
      </x:c>
      <x:c r="O131" s="23" t="str">
        <x:v>S56_ПР1_Изделие</x:v>
      </x:c>
      <x:c r="P131" s="23" t="str">
        <x:v>Единица изделия; количество применяется по реестру экземпляров. Геометрия изделий габаритная.</x:v>
      </x:c>
      <x:c r="Q131" s="26" t="str">
        <x:f>IF('03_Спец_РД'!N141="","",'03_Спец_РД'!N141)</x:f>
      </x:c>
      <x:c r="R131" s="26" t="str">
        <x:f>IF(F131="м",J131,IF(Q131="","",J131*Q131/1000))</x:f>
      </x:c>
    </x:row>
    <x:row r="132" ht="54" customHeight="1">
      <x:c r="A132" s="23" t="str">
        <x:v>L1_ПР2_F1/Изделие</x:v>
      </x:c>
      <x:c r="B132" s="23" t="str">
        <x:v>F1</x:v>
      </x:c>
      <x:c r="C132" s="23" t="str">
        <x:v>ПР2</x:v>
      </x:c>
      <x:c r="D132" s="23" t="str">
        <x:v>Изделие</x:v>
      </x:c>
      <x:c r="E132" s="23" t="str">
        <x:v>Перемычка 5ПБ18-27; серия 1.038-1, вып.1</x:v>
      </x:c>
      <x:c r="F132" s="23" t="str">
        <x:v>шт</x:v>
      </x:c>
      <x:c r="G132" s="26" t="n">
        <x:f>'03_Спец_РД'!H142</x:f>
        <x:v>1</x:v>
      </x:c>
      <x:c r="H132" s="26" t="n">
        <x:f>'02_Экземпляры'!F27</x:f>
        <x:v>1</x:v>
      </x:c>
      <x:c r="I132" s="26" t="n">
        <x:f>1</x:f>
        <x:v>1</x:v>
      </x:c>
      <x:c r="J132" s="26" t="n">
        <x:f>G132*H132*I132</x:f>
        <x:v>1</x:v>
      </x:c>
      <x:c r="K132" s="26" t="n">
        <x:f>IF('03_Спец_РД'!I142="","",'03_Спец_РД'!I142)</x:f>
        <x:v>250</x:v>
      </x:c>
      <x:c r="L132" s="26" t="n">
        <x:f>IF(K132="","",J132*K132)</x:f>
        <x:v>250</x:v>
      </x:c>
      <x:c r="M132" s="23" t="str">
        <x:v>Сборный ЖБИ</x:v>
      </x:c>
      <x:c r="N132" s="23" t="str">
        <x:v>АС.2 л.56; PDF 66</x:v>
      </x:c>
      <x:c r="O132" s="23" t="str">
        <x:v>S56_ПР2_Изделие</x:v>
      </x:c>
      <x:c r="P132" s="23" t="str">
        <x:v>Единица изделия; количество применяется по реестру экземпляров. Геометрия изделий габаритная.</x:v>
      </x:c>
      <x:c r="Q132" s="26" t="str">
        <x:f>IF('03_Спец_РД'!N142="","",'03_Спец_РД'!N142)</x:f>
      </x:c>
      <x:c r="R132" s="26" t="str">
        <x:f>IF(F132="м",J132,IF(Q132="","",J132*Q132/1000))</x:f>
      </x:c>
    </x:row>
    <x:row r="133" ht="54" customHeight="1">
      <x:c r="A133" s="23" t="str">
        <x:v>L1_КС2_F2/5</x:v>
      </x:c>
      <x:c r="B133" s="23" t="str">
        <x:v>F2</x:v>
      </x:c>
      <x:c r="C133" s="23" t="str">
        <x:v>КС2</x:v>
      </x:c>
      <x:c r="D133" s="23" t="str">
        <x:v>5</x:v>
      </x:c>
      <x:c r="E133" s="23" t="str">
        <x:v>Швеллер 22П; С245; ГОСТ 8240-97; L=4150 мм</x:v>
      </x:c>
      <x:c r="F133" s="23" t="str">
        <x:v>шт</x:v>
      </x:c>
      <x:c r="G133" s="26" t="n">
        <x:f>'03_Спец_РД'!H59</x:f>
        <x:v>1</x:v>
      </x:c>
      <x:c r="H133" s="26" t="n">
        <x:f>'02_Экземпляры'!F28</x:f>
        <x:v>4</x:v>
      </x:c>
      <x:c r="I133" s="26" t="n">
        <x:f>1</x:f>
        <x:v>1</x:v>
      </x:c>
      <x:c r="J133" s="26" t="n">
        <x:f>G133*H133*I133</x:f>
        <x:v>4</x:v>
      </x:c>
      <x:c r="K133" s="26" t="n">
        <x:f>IF('03_Спец_РД'!I59="","",'03_Спец_РД'!I59)</x:f>
        <x:v>87.15</x:v>
      </x:c>
      <x:c r="L133" s="26" t="n">
        <x:f>IF(K133="","",J133*K133)</x:f>
        <x:v>348.6</x:v>
      </x:c>
      <x:c r="M133" s="23" t="str">
        <x:v>Металлопрокат</x:v>
      </x:c>
      <x:c r="N133" s="23" t="str">
        <x:v>АС.2 л.59; PDF 69</x:v>
      </x:c>
      <x:c r="O133" s="23" t="str">
        <x:v>S59_КС2_5</x:v>
      </x:c>
      <x:c r="P133" s="23" t="str">
        <x:v>Парные т/н; изготовление зеркальное; Габарит монтажа и длина заготовки не тождественны. Для КС1 см. RFI-L05.</x:v>
      </x:c>
      <x:c r="Q133" s="26" t="n">
        <x:f>IF('03_Спец_РД'!N59="","",'03_Спец_РД'!N59)</x:f>
        <x:v>4150</x:v>
      </x:c>
      <x:c r="R133" s="26" t="n">
        <x:f>IF(F133="м",J133,IF(Q133="","",J133*Q133/1000))</x:f>
        <x:v>16.6</x:v>
      </x:c>
    </x:row>
    <x:row r="134" ht="54" customHeight="1">
      <x:c r="A134" s="23" t="str">
        <x:v>L1_КС2_F2/2</x:v>
      </x:c>
      <x:c r="B134" s="23" t="str">
        <x:v>F2</x:v>
      </x:c>
      <x:c r="C134" s="23" t="str">
        <x:v>КС2</x:v>
      </x:c>
      <x:c r="D134" s="23" t="str">
        <x:v>2</x:v>
      </x:c>
      <x:c r="E134" s="23" t="str">
        <x:v>Уголок 75×8; С245; ГОСТ 8509-93; L=130 мм</x:v>
      </x:c>
      <x:c r="F134" s="23" t="str">
        <x:v>шт</x:v>
      </x:c>
      <x:c r="G134" s="26" t="n">
        <x:f>'03_Спец_РД'!H60</x:f>
        <x:v>2</x:v>
      </x:c>
      <x:c r="H134" s="26" t="n">
        <x:f>'02_Экземпляры'!F28</x:f>
        <x:v>4</x:v>
      </x:c>
      <x:c r="I134" s="26" t="n">
        <x:f>1</x:f>
        <x:v>1</x:v>
      </x:c>
      <x:c r="J134" s="26" t="n">
        <x:f>G134*H134*I134</x:f>
        <x:v>8</x:v>
      </x:c>
      <x:c r="K134" s="26" t="n">
        <x:f>IF('03_Спец_РД'!I60="","",'03_Спец_РД'!I60)</x:f>
        <x:v>1.17</x:v>
      </x:c>
      <x:c r="L134" s="26" t="n">
        <x:f>IF(K134="","",J134*K134)</x:f>
        <x:v>9.36</x:v>
      </x:c>
      <x:c r="M134" s="23" t="str">
        <x:v>Металлопрокат</x:v>
      </x:c>
      <x:c r="N134" s="23" t="str">
        <x:v>АС.2 л.59; PDF 69</x:v>
      </x:c>
      <x:c r="O134" s="23" t="str">
        <x:v>S59_КС2_2</x:v>
      </x:c>
      <x:c r="P134" s="23" t="str">
        <x:v>Парные т/н; изготовление зеркальное</x:v>
      </x:c>
      <x:c r="Q134" s="26" t="n">
        <x:f>IF('03_Спец_РД'!N60="","",'03_Спец_РД'!N60)</x:f>
        <x:v>130</x:v>
      </x:c>
      <x:c r="R134" s="26" t="n">
        <x:f>IF(F134="м",J134,IF(Q134="","",J134*Q134/1000))</x:f>
        <x:v>1.04</x:v>
      </x:c>
    </x:row>
    <x:row r="135" ht="54" customHeight="1">
      <x:c r="A135" s="23" t="str">
        <x:v>L1_КС2_F2/4</x:v>
      </x:c>
      <x:c r="B135" s="23" t="str">
        <x:v>F2</x:v>
      </x:c>
      <x:c r="C135" s="23" t="str">
        <x:v>КС2</x:v>
      </x:c>
      <x:c r="D135" s="23" t="str">
        <x:v>4</x:v>
      </x:c>
      <x:c r="E135" s="23" t="str">
        <x:v>Уголок 40×5; С245; ГОСТ 8509-93; L=80 мм</x:v>
      </x:c>
      <x:c r="F135" s="23" t="str">
        <x:v>шт</x:v>
      </x:c>
      <x:c r="G135" s="26" t="n">
        <x:f>'03_Спец_РД'!H61</x:f>
        <x:v>1</x:v>
      </x:c>
      <x:c r="H135" s="26" t="n">
        <x:f>'02_Экземпляры'!F28</x:f>
        <x:v>4</x:v>
      </x:c>
      <x:c r="I135" s="26" t="n">
        <x:f>1</x:f>
        <x:v>1</x:v>
      </x:c>
      <x:c r="J135" s="26" t="n">
        <x:f>G135*H135*I135</x:f>
        <x:v>4</x:v>
      </x:c>
      <x:c r="K135" s="26" t="n">
        <x:f>IF('03_Спец_РД'!I61="","",'03_Спец_РД'!I61)</x:f>
        <x:v>0.24</x:v>
      </x:c>
      <x:c r="L135" s="26" t="n">
        <x:f>IF(K135="","",J135*K135)</x:f>
        <x:v>0.96</x:v>
      </x:c>
      <x:c r="M135" s="23" t="str">
        <x:v>Металлопрокат</x:v>
      </x:c>
      <x:c r="N135" s="23" t="str">
        <x:v>АС.2 л.59; PDF 69</x:v>
      </x:c>
      <x:c r="O135" s="23" t="str">
        <x:v>S59_КС2_4</x:v>
      </x:c>
      <x:c r="P135" s="23" t="str">
        <x:v>Парные т/н; изготовление зеркальное</x:v>
      </x:c>
      <x:c r="Q135" s="26" t="n">
        <x:f>IF('03_Спец_РД'!N61="","",'03_Спец_РД'!N61)</x:f>
        <x:v>80</x:v>
      </x:c>
      <x:c r="R135" s="26" t="n">
        <x:f>IF(F135="м",J135,IF(Q135="","",J135*Q135/1000))</x:f>
        <x:v>0.32</x:v>
      </x:c>
    </x:row>
    <x:row r="136" ht="54" customHeight="1">
      <x:c r="A136" s="23" t="str">
        <x:v>L1_МБ1_F2/1</x:v>
      </x:c>
      <x:c r="B136" s="23" t="str">
        <x:v>F2</x:v>
      </x:c>
      <x:c r="C136" s="23" t="str">
        <x:v>МБ1</x:v>
      </x:c>
      <x:c r="D136" s="23" t="str">
        <x:v>1</x:v>
      </x:c>
      <x:c r="E136" s="23" t="str">
        <x:v>Швеллер 27П; С245; ГОСТ 8240-97; L=2830 мм</x:v>
      </x:c>
      <x:c r="F136" s="23" t="str">
        <x:v>шт</x:v>
      </x:c>
      <x:c r="G136" s="26" t="n">
        <x:f>'03_Спец_РД'!H49</x:f>
        <x:v>1</x:v>
      </x:c>
      <x:c r="H136" s="26" t="n">
        <x:f>'02_Экземпляры'!F29</x:f>
        <x:v>2</x:v>
      </x:c>
      <x:c r="I136" s="26" t="n">
        <x:f>1</x:f>
        <x:v>1</x:v>
      </x:c>
      <x:c r="J136" s="26" t="n">
        <x:f>G136*H136*I136</x:f>
        <x:v>2</x:v>
      </x:c>
      <x:c r="K136" s="26" t="n">
        <x:f>IF('03_Спец_РД'!I49="","",'03_Спец_РД'!I49)</x:f>
        <x:v>78.39</x:v>
      </x:c>
      <x:c r="L136" s="26" t="n">
        <x:f>IF(K136="","",J136*K136)</x:f>
        <x:v>156.78</x:v>
      </x:c>
      <x:c r="M136" s="23" t="str">
        <x:v>Металлопрокат</x:v>
      </x:c>
      <x:c r="N136" s="23" t="str">
        <x:v>АС.2 л.57; PDF 67</x:v>
      </x:c>
      <x:c r="O136" s="23" t="str">
        <x:v>S57_МБ1_1</x:v>
      </x:c>
      <x:c r="P136" s="23" t="str"/>
      <x:c r="Q136" s="26" t="n">
        <x:f>IF('03_Спец_РД'!N49="","",'03_Спец_РД'!N49)</x:f>
        <x:v>2830</x:v>
      </x:c>
      <x:c r="R136" s="26" t="n">
        <x:f>IF(F136="м",J136,IF(Q136="","",J136*Q136/1000))</x:f>
        <x:v>5.66</x:v>
      </x:c>
    </x:row>
    <x:row r="137" ht="54" customHeight="1">
      <x:c r="A137" s="23" t="str">
        <x:v>L1_МБ1_F2/2</x:v>
      </x:c>
      <x:c r="B137" s="23" t="str">
        <x:v>F2</x:v>
      </x:c>
      <x:c r="C137" s="23" t="str">
        <x:v>МБ1</x:v>
      </x:c>
      <x:c r="D137" s="23" t="str">
        <x:v>2</x:v>
      </x:c>
      <x:c r="E137" s="23" t="str">
        <x:v>Уголок 100×7; С245; ГОСТ 8509-93; L=200 мм</x:v>
      </x:c>
      <x:c r="F137" s="23" t="str">
        <x:v>шт</x:v>
      </x:c>
      <x:c r="G137" s="26" t="n">
        <x:f>'03_Спец_РД'!H50</x:f>
        <x:v>2</x:v>
      </x:c>
      <x:c r="H137" s="26" t="n">
        <x:f>'02_Экземпляры'!F29</x:f>
        <x:v>2</x:v>
      </x:c>
      <x:c r="I137" s="26" t="n">
        <x:f>1</x:f>
        <x:v>1</x:v>
      </x:c>
      <x:c r="J137" s="26" t="n">
        <x:f>G137*H137*I137</x:f>
        <x:v>4</x:v>
      </x:c>
      <x:c r="K137" s="26" t="n">
        <x:f>IF('03_Спец_РД'!I50="","",'03_Спец_РД'!I50)</x:f>
        <x:v>2.16</x:v>
      </x:c>
      <x:c r="L137" s="26" t="n">
        <x:f>IF(K137="","",J137*K137)</x:f>
        <x:v>8.64</x:v>
      </x:c>
      <x:c r="M137" s="23" t="str">
        <x:v>Металлопрокат</x:v>
      </x:c>
      <x:c r="N137" s="23" t="str">
        <x:v>АС.2 л.57; PDF 67</x:v>
      </x:c>
      <x:c r="O137" s="23" t="str">
        <x:v>S57_МБ1_2</x:v>
      </x:c>
      <x:c r="P137" s="23" t="str"/>
      <x:c r="Q137" s="26" t="n">
        <x:f>IF('03_Спец_РД'!N50="","",'03_Спец_РД'!N50)</x:f>
        <x:v>200</x:v>
      </x:c>
      <x:c r="R137" s="26" t="n">
        <x:f>IF(F137="м",J137,IF(Q137="","",J137*Q137/1000))</x:f>
        <x:v>0.8</x:v>
      </x:c>
    </x:row>
    <x:row r="138" ht="54" customHeight="1">
      <x:c r="A138" s="23" t="str">
        <x:v>L1_МБ2_F2/1</x:v>
      </x:c>
      <x:c r="B138" s="23" t="str">
        <x:v>F2</x:v>
      </x:c>
      <x:c r="C138" s="23" t="str">
        <x:v>МБ2</x:v>
      </x:c>
      <x:c r="D138" s="23" t="str">
        <x:v>1</x:v>
      </x:c>
      <x:c r="E138" s="23" t="str">
        <x:v>Швеллер 27П; С245; ГОСТ 8240-97; L=2830 мм</x:v>
      </x:c>
      <x:c r="F138" s="23" t="str">
        <x:v>шт</x:v>
      </x:c>
      <x:c r="G138" s="26" t="n">
        <x:f>'03_Спец_РД'!H51</x:f>
        <x:v>1</x:v>
      </x:c>
      <x:c r="H138" s="26" t="n">
        <x:f>'02_Экземпляры'!F30</x:f>
        <x:v>1</x:v>
      </x:c>
      <x:c r="I138" s="26" t="n">
        <x:f>1</x:f>
        <x:v>1</x:v>
      </x:c>
      <x:c r="J138" s="26" t="n">
        <x:f>G138*H138*I138</x:f>
        <x:v>1</x:v>
      </x:c>
      <x:c r="K138" s="26" t="n">
        <x:f>IF('03_Спец_РД'!I51="","",'03_Спец_РД'!I51)</x:f>
        <x:v>78.39</x:v>
      </x:c>
      <x:c r="L138" s="26" t="n">
        <x:f>IF(K138="","",J138*K138)</x:f>
        <x:v>78.39</x:v>
      </x:c>
      <x:c r="M138" s="23" t="str">
        <x:v>Металлопрокат</x:v>
      </x:c>
      <x:c r="N138" s="23" t="str">
        <x:v>АС.2 л.57; PDF 67</x:v>
      </x:c>
      <x:c r="O138" s="23" t="str">
        <x:v>S57_МБ2_1</x:v>
      </x:c>
      <x:c r="P138" s="23" t="str"/>
      <x:c r="Q138" s="26" t="n">
        <x:f>IF('03_Спец_РД'!N51="","",'03_Спец_РД'!N51)</x:f>
        <x:v>2830</x:v>
      </x:c>
      <x:c r="R138" s="26" t="n">
        <x:f>IF(F138="м",J138,IF(Q138="","",J138*Q138/1000))</x:f>
        <x:v>2.83</x:v>
      </x:c>
    </x:row>
    <x:row r="139" ht="54" customHeight="1">
      <x:c r="A139" s="23" t="str">
        <x:v>L1_МБ2_F2/2</x:v>
      </x:c>
      <x:c r="B139" s="23" t="str">
        <x:v>F2</x:v>
      </x:c>
      <x:c r="C139" s="23" t="str">
        <x:v>МБ2</x:v>
      </x:c>
      <x:c r="D139" s="23" t="str">
        <x:v>2</x:v>
      </x:c>
      <x:c r="E139" s="23" t="str">
        <x:v>Уголок 100×7; С245; ГОСТ 8509-93; L=200 мм</x:v>
      </x:c>
      <x:c r="F139" s="23" t="str">
        <x:v>шт</x:v>
      </x:c>
      <x:c r="G139" s="26" t="n">
        <x:f>'03_Спец_РД'!H52</x:f>
        <x:v>2</x:v>
      </x:c>
      <x:c r="H139" s="26" t="n">
        <x:f>'02_Экземпляры'!F30</x:f>
        <x:v>1</x:v>
      </x:c>
      <x:c r="I139" s="26" t="n">
        <x:f>1</x:f>
        <x:v>1</x:v>
      </x:c>
      <x:c r="J139" s="26" t="n">
        <x:f>G139*H139*I139</x:f>
        <x:v>2</x:v>
      </x:c>
      <x:c r="K139" s="26" t="n">
        <x:f>IF('03_Спец_РД'!I52="","",'03_Спец_РД'!I52)</x:f>
        <x:v>2.16</x:v>
      </x:c>
      <x:c r="L139" s="26" t="n">
        <x:f>IF(K139="","",J139*K139)</x:f>
        <x:v>4.32</x:v>
      </x:c>
      <x:c r="M139" s="23" t="str">
        <x:v>Металлопрокат</x:v>
      </x:c>
      <x:c r="N139" s="23" t="str">
        <x:v>АС.2 л.57; PDF 67</x:v>
      </x:c>
      <x:c r="O139" s="23" t="str">
        <x:v>S57_МБ2_2</x:v>
      </x:c>
      <x:c r="P139" s="23" t="str"/>
      <x:c r="Q139" s="26" t="n">
        <x:f>IF('03_Спец_РД'!N52="","",'03_Спец_РД'!N52)</x:f>
        <x:v>200</x:v>
      </x:c>
      <x:c r="R139" s="26" t="n">
        <x:f>IF(F139="м",J139,IF(Q139="","",J139*Q139/1000))</x:f>
        <x:v>0.4</x:v>
      </x:c>
    </x:row>
    <x:row r="140" ht="54" customHeight="1">
      <x:c r="A140" s="23" t="str">
        <x:v>L1_ЛС1_F2/Изделие</x:v>
      </x:c>
      <x:c r="B140" s="23" t="str">
        <x:v>F2</x:v>
      </x:c>
      <x:c r="C140" s="23" t="str">
        <x:v>ЛС1</x:v>
      </x:c>
      <x:c r="D140" s="23" t="str">
        <x:v>Изделие</x:v>
      </x:c>
      <x:c r="E140" s="23" t="str">
        <x:v>Ступень ЛС12; ГОСТ 8717-2016</x:v>
      </x:c>
      <x:c r="F140" s="23" t="str">
        <x:v>шт</x:v>
      </x:c>
      <x:c r="G140" s="26" t="n">
        <x:f>'03_Спец_РД'!H139</x:f>
        <x:v>1</x:v>
      </x:c>
      <x:c r="H140" s="26" t="n">
        <x:f>'02_Экземпляры'!F31</x:f>
        <x:v>22</x:v>
      </x:c>
      <x:c r="I140" s="26" t="n">
        <x:f>1</x:f>
        <x:v>1</x:v>
      </x:c>
      <x:c r="J140" s="26" t="n">
        <x:f>G140*H140*I140</x:f>
        <x:v>22</x:v>
      </x:c>
      <x:c r="K140" s="26" t="n">
        <x:f>IF('03_Спец_РД'!I139="","",'03_Спец_РД'!I139)</x:f>
        <x:v>128</x:v>
      </x:c>
      <x:c r="L140" s="26" t="n">
        <x:f>IF(K140="","",J140*K140)</x:f>
        <x:v>2816</x:v>
      </x:c>
      <x:c r="M140" s="23" t="str">
        <x:v>Сборный ЖБИ</x:v>
      </x:c>
      <x:c r="N140" s="23" t="str">
        <x:v>АС.2 л.56; PDF 66</x:v>
      </x:c>
      <x:c r="O140" s="23" t="str">
        <x:v>S56_ЛС1_Изделие</x:v>
      </x:c>
      <x:c r="P140" s="23" t="str">
        <x:v>Разбивка ЛС1 по геометрии: 11+11;11+11;13+13. Общий итог 70 — л.56.; Единица изделия; количество применяется по реестру экземпляров. Геометрия изделий габаритная.</x:v>
      </x:c>
      <x:c r="Q140" s="26" t="str">
        <x:f>IF('03_Спец_РД'!N139="","",'03_Спец_РД'!N139)</x:f>
      </x:c>
      <x:c r="R140" s="26" t="str">
        <x:f>IF(F140="м",J140,IF(Q140="","",J140*Q140/1000))</x:f>
      </x:c>
    </x:row>
    <x:row r="141" ht="54" customHeight="1">
      <x:c r="A141" s="23" t="str">
        <x:v>L1_ОП1_F2/Изделие</x:v>
      </x:c>
      <x:c r="B141" s="23" t="str">
        <x:v>F2</x:v>
      </x:c>
      <x:c r="C141" s="23" t="str">
        <x:v>ОП1</x:v>
      </x:c>
      <x:c r="D141" s="23" t="str">
        <x:v>Изделие</x:v>
      </x:c>
      <x:c r="E141" s="23" t="str">
        <x:v>Опорная подушка ОП1; серия 1.069-1, вып.1</x:v>
      </x:c>
      <x:c r="F141" s="23" t="str">
        <x:v>шт</x:v>
      </x:c>
      <x:c r="G141" s="26" t="n">
        <x:f>'03_Спец_РД'!H140</x:f>
        <x:v>1</x:v>
      </x:c>
      <x:c r="H141" s="26" t="n">
        <x:f>'02_Экземпляры'!F32</x:f>
        <x:v>6</x:v>
      </x:c>
      <x:c r="I141" s="26" t="n">
        <x:f>1</x:f>
        <x:v>1</x:v>
      </x:c>
      <x:c r="J141" s="26" t="n">
        <x:f>G141*H141*I141</x:f>
        <x:v>6</x:v>
      </x:c>
      <x:c r="K141" s="26" t="n">
        <x:f>IF('03_Спец_РД'!I140="","",'03_Спец_РД'!I140)</x:f>
        <x:v>33</x:v>
      </x:c>
      <x:c r="L141" s="26" t="n">
        <x:f>IF(K141="","",J141*K141)</x:f>
        <x:v>198</x:v>
      </x:c>
      <x:c r="M141" s="23" t="str">
        <x:v>Сборный ЖБИ</x:v>
      </x:c>
      <x:c r="N141" s="23" t="str">
        <x:v>АС.2 л.56; PDF 66</x:v>
      </x:c>
      <x:c r="O141" s="23" t="str">
        <x:v>S56_ОП1_Изделие</x:v>
      </x:c>
      <x:c r="P141" s="23" t="str">
        <x:v>Единица изделия; количество применяется по реестру экземпляров. Геометрия изделий габаритная.</x:v>
      </x:c>
      <x:c r="Q141" s="26" t="str">
        <x:f>IF('03_Спец_РД'!N140="","",'03_Спец_РД'!N140)</x:f>
      </x:c>
      <x:c r="R141" s="26" t="str">
        <x:f>IF(F141="м",J141,IF(Q141="","",J141*Q141/1000))</x:f>
      </x:c>
    </x:row>
    <x:row r="142" ht="54" customHeight="1">
      <x:c r="A142" s="23" t="str">
        <x:v>L1_ПР1_F2/Изделие</x:v>
      </x:c>
      <x:c r="B142" s="23" t="str">
        <x:v>F2</x:v>
      </x:c>
      <x:c r="C142" s="23" t="str">
        <x:v>ПР1</x:v>
      </x:c>
      <x:c r="D142" s="23" t="str">
        <x:v>Изделие</x:v>
      </x:c>
      <x:c r="E142" s="23" t="str">
        <x:v>Перемычка 3ПБ18-8; серия 1.038-1, вып.1</x:v>
      </x:c>
      <x:c r="F142" s="23" t="str">
        <x:v>шт</x:v>
      </x:c>
      <x:c r="G142" s="26" t="n">
        <x:f>'03_Спец_РД'!H141</x:f>
        <x:v>1</x:v>
      </x:c>
      <x:c r="H142" s="26" t="n">
        <x:f>'02_Экземпляры'!F33</x:f>
        <x:v>2</x:v>
      </x:c>
      <x:c r="I142" s="26" t="n">
        <x:f>1</x:f>
        <x:v>1</x:v>
      </x:c>
      <x:c r="J142" s="26" t="n">
        <x:f>G142*H142*I142</x:f>
        <x:v>2</x:v>
      </x:c>
      <x:c r="K142" s="26" t="n">
        <x:f>IF('03_Спец_РД'!I141="","",'03_Спец_РД'!I141)</x:f>
        <x:v>119</x:v>
      </x:c>
      <x:c r="L142" s="26" t="n">
        <x:f>IF(K142="","",J142*K142)</x:f>
        <x:v>238</x:v>
      </x:c>
      <x:c r="M142" s="23" t="str">
        <x:v>Сборный ЖБИ</x:v>
      </x:c>
      <x:c r="N142" s="23" t="str">
        <x:v>АС.2 л.56; PDF 66</x:v>
      </x:c>
      <x:c r="O142" s="23" t="str">
        <x:v>S56_ПР1_Изделие</x:v>
      </x:c>
      <x:c r="P142" s="23" t="str">
        <x:v>Единица изделия; количество применяется по реестру экземпляров. Геометрия изделий габаритная.</x:v>
      </x:c>
      <x:c r="Q142" s="26" t="str">
        <x:f>IF('03_Спец_РД'!N141="","",'03_Спец_РД'!N141)</x:f>
      </x:c>
      <x:c r="R142" s="26" t="str">
        <x:f>IF(F142="м",J142,IF(Q142="","",J142*Q142/1000))</x:f>
      </x:c>
    </x:row>
    <x:row r="143" ht="54" customHeight="1">
      <x:c r="A143" s="23" t="str">
        <x:v>L1_КС3_F3/6</x:v>
      </x:c>
      <x:c r="B143" s="23" t="str">
        <x:v>F3</x:v>
      </x:c>
      <x:c r="C143" s="23" t="str">
        <x:v>КС3</x:v>
      </x:c>
      <x:c r="D143" s="23" t="str">
        <x:v>6</x:v>
      </x:c>
      <x:c r="E143" s="23" t="str">
        <x:v>Швеллер 22П; С245; ГОСТ 8240-97; L=4795 мм</x:v>
      </x:c>
      <x:c r="F143" s="23" t="str">
        <x:v>шт</x:v>
      </x:c>
      <x:c r="G143" s="26" t="n">
        <x:f>'03_Спец_РД'!H62</x:f>
        <x:v>1</x:v>
      </x:c>
      <x:c r="H143" s="26" t="n">
        <x:f>'02_Экземпляры'!F34</x:f>
        <x:v>2</x:v>
      </x:c>
      <x:c r="I143" s="26" t="n">
        <x:f>1</x:f>
        <x:v>1</x:v>
      </x:c>
      <x:c r="J143" s="26" t="n">
        <x:f>G143*H143*I143</x:f>
        <x:v>2</x:v>
      </x:c>
      <x:c r="K143" s="26" t="n">
        <x:f>IF('03_Спец_РД'!I62="","",'03_Спец_РД'!I62)</x:f>
        <x:v>100.7</x:v>
      </x:c>
      <x:c r="L143" s="26" t="n">
        <x:f>IF(K143="","",J143*K143)</x:f>
        <x:v>201.4</x:v>
      </x:c>
      <x:c r="M143" s="23" t="str">
        <x:v>Металлопрокат</x:v>
      </x:c>
      <x:c r="N143" s="23" t="str">
        <x:v>АС.2 л.59; PDF 69</x:v>
      </x:c>
      <x:c r="O143" s="23" t="str">
        <x:v>S59_КС3_6</x:v>
      </x:c>
      <x:c r="P143" s="23" t="str">
        <x:v>Парные т/н; изготовление зеркальное; Габарит монтажа и длина заготовки не тождественны. Для КС1 см. RFI-L05.</x:v>
      </x:c>
      <x:c r="Q143" s="26" t="n">
        <x:f>IF('03_Спец_РД'!N62="","",'03_Спец_РД'!N62)</x:f>
        <x:v>4795</x:v>
      </x:c>
      <x:c r="R143" s="26" t="n">
        <x:f>IF(F143="м",J143,IF(Q143="","",J143*Q143/1000))</x:f>
        <x:v>9.59</x:v>
      </x:c>
    </x:row>
    <x:row r="144" ht="54" customHeight="1">
      <x:c r="A144" s="23" t="str">
        <x:v>L1_КС3_F3/2</x:v>
      </x:c>
      <x:c r="B144" s="23" t="str">
        <x:v>F3</x:v>
      </x:c>
      <x:c r="C144" s="23" t="str">
        <x:v>КС3</x:v>
      </x:c>
      <x:c r="D144" s="23" t="str">
        <x:v>2</x:v>
      </x:c>
      <x:c r="E144" s="23" t="str">
        <x:v>Уголок 75×8; С245; ГОСТ 8509-93; L=130 мм</x:v>
      </x:c>
      <x:c r="F144" s="23" t="str">
        <x:v>шт</x:v>
      </x:c>
      <x:c r="G144" s="26" t="n">
        <x:f>'03_Спец_РД'!H63</x:f>
        <x:v>2</x:v>
      </x:c>
      <x:c r="H144" s="26" t="n">
        <x:f>'02_Экземпляры'!F34</x:f>
        <x:v>2</x:v>
      </x:c>
      <x:c r="I144" s="26" t="n">
        <x:f>1</x:f>
        <x:v>1</x:v>
      </x:c>
      <x:c r="J144" s="26" t="n">
        <x:f>G144*H144*I144</x:f>
        <x:v>4</x:v>
      </x:c>
      <x:c r="K144" s="26" t="n">
        <x:f>IF('03_Спец_РД'!I63="","",'03_Спец_РД'!I63)</x:f>
        <x:v>1.17</x:v>
      </x:c>
      <x:c r="L144" s="26" t="n">
        <x:f>IF(K144="","",J144*K144)</x:f>
        <x:v>4.68</x:v>
      </x:c>
      <x:c r="M144" s="23" t="str">
        <x:v>Металлопрокат</x:v>
      </x:c>
      <x:c r="N144" s="23" t="str">
        <x:v>АС.2 л.59; PDF 69</x:v>
      </x:c>
      <x:c r="O144" s="23" t="str">
        <x:v>S59_КС3_2</x:v>
      </x:c>
      <x:c r="P144" s="23" t="str">
        <x:v>Парные т/н; изготовление зеркальное</x:v>
      </x:c>
      <x:c r="Q144" s="26" t="n">
        <x:f>IF('03_Спец_РД'!N63="","",'03_Спец_РД'!N63)</x:f>
        <x:v>130</x:v>
      </x:c>
      <x:c r="R144" s="26" t="n">
        <x:f>IF(F144="м",J144,IF(Q144="","",J144*Q144/1000))</x:f>
        <x:v>0.52</x:v>
      </x:c>
    </x:row>
    <x:row r="145" ht="54" customHeight="1">
      <x:c r="A145" s="23" t="str">
        <x:v>L1_КС3_F3/4</x:v>
      </x:c>
      <x:c r="B145" s="23" t="str">
        <x:v>F3</x:v>
      </x:c>
      <x:c r="C145" s="23" t="str">
        <x:v>КС3</x:v>
      </x:c>
      <x:c r="D145" s="23" t="str">
        <x:v>4</x:v>
      </x:c>
      <x:c r="E145" s="23" t="str">
        <x:v>Уголок 40×5; С245; ГОСТ 8509-93; L=80 мм</x:v>
      </x:c>
      <x:c r="F145" s="23" t="str">
        <x:v>шт</x:v>
      </x:c>
      <x:c r="G145" s="26" t="n">
        <x:f>'03_Спец_РД'!H64</x:f>
        <x:v>1</x:v>
      </x:c>
      <x:c r="H145" s="26" t="n">
        <x:f>'02_Экземпляры'!F34</x:f>
        <x:v>2</x:v>
      </x:c>
      <x:c r="I145" s="26" t="n">
        <x:f>1</x:f>
        <x:v>1</x:v>
      </x:c>
      <x:c r="J145" s="26" t="n">
        <x:f>G145*H145*I145</x:f>
        <x:v>2</x:v>
      </x:c>
      <x:c r="K145" s="26" t="n">
        <x:f>IF('03_Спец_РД'!I64="","",'03_Спец_РД'!I64)</x:f>
        <x:v>0.24</x:v>
      </x:c>
      <x:c r="L145" s="26" t="n">
        <x:f>IF(K145="","",J145*K145)</x:f>
        <x:v>0.48</x:v>
      </x:c>
      <x:c r="M145" s="23" t="str">
        <x:v>Металлопрокат</x:v>
      </x:c>
      <x:c r="N145" s="23" t="str">
        <x:v>АС.2 л.59; PDF 69</x:v>
      </x:c>
      <x:c r="O145" s="23" t="str">
        <x:v>S59_КС3_4</x:v>
      </x:c>
      <x:c r="P145" s="23" t="str">
        <x:v>Парные т/н; изготовление зеркальное</x:v>
      </x:c>
      <x:c r="Q145" s="26" t="n">
        <x:f>IF('03_Спец_РД'!N64="","",'03_Спец_РД'!N64)</x:f>
        <x:v>80</x:v>
      </x:c>
      <x:c r="R145" s="26" t="n">
        <x:f>IF(F145="м",J145,IF(Q145="","",J145*Q145/1000))</x:f>
        <x:v>0.16</x:v>
      </x:c>
    </x:row>
    <x:row r="146" ht="54" customHeight="1">
      <x:c r="A146" s="23" t="str">
        <x:v>L1_КС4_F3/7</x:v>
      </x:c>
      <x:c r="B146" s="23" t="str">
        <x:v>F3</x:v>
      </x:c>
      <x:c r="C146" s="23" t="str">
        <x:v>КС4</x:v>
      </x:c>
      <x:c r="D146" s="23" t="str">
        <x:v>7</x:v>
      </x:c>
      <x:c r="E146" s="23" t="str">
        <x:v>Швеллер 22П; С245; ГОСТ 8240-97; L=4640 мм</x:v>
      </x:c>
      <x:c r="F146" s="23" t="str">
        <x:v>шт</x:v>
      </x:c>
      <x:c r="G146" s="26" t="n">
        <x:f>'03_Спец_РД'!H65</x:f>
        <x:v>1</x:v>
      </x:c>
      <x:c r="H146" s="26" t="n">
        <x:f>'02_Экземпляры'!F35</x:f>
        <x:v>2</x:v>
      </x:c>
      <x:c r="I146" s="26" t="n">
        <x:f>1</x:f>
        <x:v>1</x:v>
      </x:c>
      <x:c r="J146" s="26" t="n">
        <x:f>G146*H146*I146</x:f>
        <x:v>2</x:v>
      </x:c>
      <x:c r="K146" s="26" t="n">
        <x:f>IF('03_Спец_РД'!I65="","",'03_Спец_РД'!I65)</x:f>
        <x:v>97.44</x:v>
      </x:c>
      <x:c r="L146" s="26" t="n">
        <x:f>IF(K146="","",J146*K146)</x:f>
        <x:v>194.88</x:v>
      </x:c>
      <x:c r="M146" s="23" t="str">
        <x:v>Металлопрокат</x:v>
      </x:c>
      <x:c r="N146" s="23" t="str">
        <x:v>АС.2 л.59; PDF 69</x:v>
      </x:c>
      <x:c r="O146" s="23" t="str">
        <x:v>S59_КС4_7</x:v>
      </x:c>
      <x:c r="P146" s="23" t="str">
        <x:v>Парные т/н; изготовление зеркальное; Габарит монтажа и длина заготовки не тождественны. Для КС1 см. RFI-L05.</x:v>
      </x:c>
      <x:c r="Q146" s="26" t="n">
        <x:f>IF('03_Спец_РД'!N65="","",'03_Спец_РД'!N65)</x:f>
        <x:v>4640</x:v>
      </x:c>
      <x:c r="R146" s="26" t="n">
        <x:f>IF(F146="м",J146,IF(Q146="","",J146*Q146/1000))</x:f>
        <x:v>9.28</x:v>
      </x:c>
    </x:row>
    <x:row r="147" ht="54" customHeight="1">
      <x:c r="A147" s="23" t="str">
        <x:v>L1_КС4_F3/2</x:v>
      </x:c>
      <x:c r="B147" s="23" t="str">
        <x:v>F3</x:v>
      </x:c>
      <x:c r="C147" s="23" t="str">
        <x:v>КС4</x:v>
      </x:c>
      <x:c r="D147" s="23" t="str">
        <x:v>2</x:v>
      </x:c>
      <x:c r="E147" s="23" t="str">
        <x:v>Уголок 75×8; С245; ГОСТ 8509-93; L=130 мм</x:v>
      </x:c>
      <x:c r="F147" s="23" t="str">
        <x:v>шт</x:v>
      </x:c>
      <x:c r="G147" s="26" t="n">
        <x:f>'03_Спец_РД'!H66</x:f>
        <x:v>2</x:v>
      </x:c>
      <x:c r="H147" s="26" t="n">
        <x:f>'02_Экземпляры'!F35</x:f>
        <x:v>2</x:v>
      </x:c>
      <x:c r="I147" s="26" t="n">
        <x:f>1</x:f>
        <x:v>1</x:v>
      </x:c>
      <x:c r="J147" s="26" t="n">
        <x:f>G147*H147*I147</x:f>
        <x:v>4</x:v>
      </x:c>
      <x:c r="K147" s="26" t="n">
        <x:f>IF('03_Спец_РД'!I66="","",'03_Спец_РД'!I66)</x:f>
        <x:v>1.17</x:v>
      </x:c>
      <x:c r="L147" s="26" t="n">
        <x:f>IF(K147="","",J147*K147)</x:f>
        <x:v>4.68</x:v>
      </x:c>
      <x:c r="M147" s="23" t="str">
        <x:v>Металлопрокат</x:v>
      </x:c>
      <x:c r="N147" s="23" t="str">
        <x:v>АС.2 л.59; PDF 69</x:v>
      </x:c>
      <x:c r="O147" s="23" t="str">
        <x:v>S59_КС4_2</x:v>
      </x:c>
      <x:c r="P147" s="23" t="str">
        <x:v>Парные т/н; изготовление зеркальное</x:v>
      </x:c>
      <x:c r="Q147" s="26" t="n">
        <x:f>IF('03_Спец_РД'!N66="","",'03_Спец_РД'!N66)</x:f>
        <x:v>130</x:v>
      </x:c>
      <x:c r="R147" s="26" t="n">
        <x:f>IF(F147="м",J147,IF(Q147="","",J147*Q147/1000))</x:f>
        <x:v>0.52</x:v>
      </x:c>
    </x:row>
    <x:row r="148" ht="54" customHeight="1">
      <x:c r="A148" s="23" t="str">
        <x:v>L1_КС4_F3/4</x:v>
      </x:c>
      <x:c r="B148" s="23" t="str">
        <x:v>F3</x:v>
      </x:c>
      <x:c r="C148" s="23" t="str">
        <x:v>КС4</x:v>
      </x:c>
      <x:c r="D148" s="23" t="str">
        <x:v>4</x:v>
      </x:c>
      <x:c r="E148" s="23" t="str">
        <x:v>Уголок 40×5; С245; ГОСТ 8509-93; L=80 мм</x:v>
      </x:c>
      <x:c r="F148" s="23" t="str">
        <x:v>шт</x:v>
      </x:c>
      <x:c r="G148" s="26" t="n">
        <x:f>'03_Спец_РД'!H67</x:f>
        <x:v>1</x:v>
      </x:c>
      <x:c r="H148" s="26" t="n">
        <x:f>'02_Экземпляры'!F35</x:f>
        <x:v>2</x:v>
      </x:c>
      <x:c r="I148" s="26" t="n">
        <x:f>1</x:f>
        <x:v>1</x:v>
      </x:c>
      <x:c r="J148" s="26" t="n">
        <x:f>G148*H148*I148</x:f>
        <x:v>2</x:v>
      </x:c>
      <x:c r="K148" s="26" t="n">
        <x:f>IF('03_Спец_РД'!I67="","",'03_Спец_РД'!I67)</x:f>
        <x:v>0.24</x:v>
      </x:c>
      <x:c r="L148" s="26" t="n">
        <x:f>IF(K148="","",J148*K148)</x:f>
        <x:v>0.48</x:v>
      </x:c>
      <x:c r="M148" s="23" t="str">
        <x:v>Металлопрокат</x:v>
      </x:c>
      <x:c r="N148" s="23" t="str">
        <x:v>АС.2 л.59; PDF 69</x:v>
      </x:c>
      <x:c r="O148" s="23" t="str">
        <x:v>S59_КС4_4</x:v>
      </x:c>
      <x:c r="P148" s="23" t="str">
        <x:v>Парные т/н; изготовление зеркальное</x:v>
      </x:c>
      <x:c r="Q148" s="26" t="n">
        <x:f>IF('03_Спец_РД'!N67="","",'03_Спец_РД'!N67)</x:f>
        <x:v>80</x:v>
      </x:c>
      <x:c r="R148" s="26" t="n">
        <x:f>IF(F148="м",J148,IF(Q148="","",J148*Q148/1000))</x:f>
        <x:v>0.16</x:v>
      </x:c>
    </x:row>
    <x:row r="149" ht="54" customHeight="1">
      <x:c r="A149" s="23" t="str">
        <x:v>L1_МБ1_F3/1</x:v>
      </x:c>
      <x:c r="B149" s="23" t="str">
        <x:v>F3</x:v>
      </x:c>
      <x:c r="C149" s="23" t="str">
        <x:v>МБ1</x:v>
      </x:c>
      <x:c r="D149" s="23" t="str">
        <x:v>1</x:v>
      </x:c>
      <x:c r="E149" s="23" t="str">
        <x:v>Швеллер 27П; С245; ГОСТ 8240-97; L=2830 мм</x:v>
      </x:c>
      <x:c r="F149" s="23" t="str">
        <x:v>шт</x:v>
      </x:c>
      <x:c r="G149" s="26" t="n">
        <x:f>'03_Спец_РД'!H49</x:f>
        <x:v>1</x:v>
      </x:c>
      <x:c r="H149" s="26" t="n">
        <x:f>'02_Экземпляры'!F36</x:f>
        <x:v>2</x:v>
      </x:c>
      <x:c r="I149" s="26" t="n">
        <x:f>1</x:f>
        <x:v>1</x:v>
      </x:c>
      <x:c r="J149" s="26" t="n">
        <x:f>G149*H149*I149</x:f>
        <x:v>2</x:v>
      </x:c>
      <x:c r="K149" s="26" t="n">
        <x:f>IF('03_Спец_РД'!I49="","",'03_Спец_РД'!I49)</x:f>
        <x:v>78.39</x:v>
      </x:c>
      <x:c r="L149" s="26" t="n">
        <x:f>IF(K149="","",J149*K149)</x:f>
        <x:v>156.78</x:v>
      </x:c>
      <x:c r="M149" s="23" t="str">
        <x:v>Металлопрокат</x:v>
      </x:c>
      <x:c r="N149" s="23" t="str">
        <x:v>АС.2 л.57; PDF 67</x:v>
      </x:c>
      <x:c r="O149" s="23" t="str">
        <x:v>S57_МБ1_1</x:v>
      </x:c>
      <x:c r="P149" s="23" t="str"/>
      <x:c r="Q149" s="26" t="n">
        <x:f>IF('03_Спец_РД'!N49="","",'03_Спец_РД'!N49)</x:f>
        <x:v>2830</x:v>
      </x:c>
      <x:c r="R149" s="26" t="n">
        <x:f>IF(F149="м",J149,IF(Q149="","",J149*Q149/1000))</x:f>
        <x:v>5.66</x:v>
      </x:c>
    </x:row>
    <x:row r="150" ht="54" customHeight="1">
      <x:c r="A150" s="23" t="str">
        <x:v>L1_МБ1_F3/2</x:v>
      </x:c>
      <x:c r="B150" s="23" t="str">
        <x:v>F3</x:v>
      </x:c>
      <x:c r="C150" s="23" t="str">
        <x:v>МБ1</x:v>
      </x:c>
      <x:c r="D150" s="23" t="str">
        <x:v>2</x:v>
      </x:c>
      <x:c r="E150" s="23" t="str">
        <x:v>Уголок 100×7; С245; ГОСТ 8509-93; L=200 мм</x:v>
      </x:c>
      <x:c r="F150" s="23" t="str">
        <x:v>шт</x:v>
      </x:c>
      <x:c r="G150" s="26" t="n">
        <x:f>'03_Спец_РД'!H50</x:f>
        <x:v>2</x:v>
      </x:c>
      <x:c r="H150" s="26" t="n">
        <x:f>'02_Экземпляры'!F36</x:f>
        <x:v>2</x:v>
      </x:c>
      <x:c r="I150" s="26" t="n">
        <x:f>1</x:f>
        <x:v>1</x:v>
      </x:c>
      <x:c r="J150" s="26" t="n">
        <x:f>G150*H150*I150</x:f>
        <x:v>4</x:v>
      </x:c>
      <x:c r="K150" s="26" t="n">
        <x:f>IF('03_Спец_РД'!I50="","",'03_Спец_РД'!I50)</x:f>
        <x:v>2.16</x:v>
      </x:c>
      <x:c r="L150" s="26" t="n">
        <x:f>IF(K150="","",J150*K150)</x:f>
        <x:v>8.64</x:v>
      </x:c>
      <x:c r="M150" s="23" t="str">
        <x:v>Металлопрокат</x:v>
      </x:c>
      <x:c r="N150" s="23" t="str">
        <x:v>АС.2 л.57; PDF 67</x:v>
      </x:c>
      <x:c r="O150" s="23" t="str">
        <x:v>S57_МБ1_2</x:v>
      </x:c>
      <x:c r="P150" s="23" t="str"/>
      <x:c r="Q150" s="26" t="n">
        <x:f>IF('03_Спец_РД'!N50="","",'03_Спец_РД'!N50)</x:f>
        <x:v>200</x:v>
      </x:c>
      <x:c r="R150" s="26" t="n">
        <x:f>IF(F150="м",J150,IF(Q150="","",J150*Q150/1000))</x:f>
        <x:v>0.8</x:v>
      </x:c>
    </x:row>
    <x:row r="151" ht="54" customHeight="1">
      <x:c r="A151" s="23" t="str">
        <x:v>L1_МБ2_F3/1</x:v>
      </x:c>
      <x:c r="B151" s="23" t="str">
        <x:v>F3</x:v>
      </x:c>
      <x:c r="C151" s="23" t="str">
        <x:v>МБ2</x:v>
      </x:c>
      <x:c r="D151" s="23" t="str">
        <x:v>1</x:v>
      </x:c>
      <x:c r="E151" s="23" t="str">
        <x:v>Швеллер 27П; С245; ГОСТ 8240-97; L=2830 мм</x:v>
      </x:c>
      <x:c r="F151" s="23" t="str">
        <x:v>шт</x:v>
      </x:c>
      <x:c r="G151" s="26" t="n">
        <x:f>'03_Спец_РД'!H51</x:f>
        <x:v>1</x:v>
      </x:c>
      <x:c r="H151" s="26" t="n">
        <x:f>'02_Экземпляры'!F37</x:f>
        <x:v>1</x:v>
      </x:c>
      <x:c r="I151" s="26" t="n">
        <x:f>1</x:f>
        <x:v>1</x:v>
      </x:c>
      <x:c r="J151" s="26" t="n">
        <x:f>G151*H151*I151</x:f>
        <x:v>1</x:v>
      </x:c>
      <x:c r="K151" s="26" t="n">
        <x:f>IF('03_Спец_РД'!I51="","",'03_Спец_РД'!I51)</x:f>
        <x:v>78.39</x:v>
      </x:c>
      <x:c r="L151" s="26" t="n">
        <x:f>IF(K151="","",J151*K151)</x:f>
        <x:v>78.39</x:v>
      </x:c>
      <x:c r="M151" s="23" t="str">
        <x:v>Металлопрокат</x:v>
      </x:c>
      <x:c r="N151" s="23" t="str">
        <x:v>АС.2 л.57; PDF 67</x:v>
      </x:c>
      <x:c r="O151" s="23" t="str">
        <x:v>S57_МБ2_1</x:v>
      </x:c>
      <x:c r="P151" s="23" t="str"/>
      <x:c r="Q151" s="26" t="n">
        <x:f>IF('03_Спец_РД'!N51="","",'03_Спец_РД'!N51)</x:f>
        <x:v>2830</x:v>
      </x:c>
      <x:c r="R151" s="26" t="n">
        <x:f>IF(F151="м",J151,IF(Q151="","",J151*Q151/1000))</x:f>
        <x:v>2.83</x:v>
      </x:c>
    </x:row>
    <x:row r="152" ht="54" customHeight="1">
      <x:c r="A152" s="23" t="str">
        <x:v>L1_МБ2_F3/2</x:v>
      </x:c>
      <x:c r="B152" s="23" t="str">
        <x:v>F3</x:v>
      </x:c>
      <x:c r="C152" s="23" t="str">
        <x:v>МБ2</x:v>
      </x:c>
      <x:c r="D152" s="23" t="str">
        <x:v>2</x:v>
      </x:c>
      <x:c r="E152" s="23" t="str">
        <x:v>Уголок 100×7; С245; ГОСТ 8509-93; L=200 мм</x:v>
      </x:c>
      <x:c r="F152" s="23" t="str">
        <x:v>шт</x:v>
      </x:c>
      <x:c r="G152" s="26" t="n">
        <x:f>'03_Спец_РД'!H52</x:f>
        <x:v>2</x:v>
      </x:c>
      <x:c r="H152" s="26" t="n">
        <x:f>'02_Экземпляры'!F37</x:f>
        <x:v>1</x:v>
      </x:c>
      <x:c r="I152" s="26" t="n">
        <x:f>1</x:f>
        <x:v>1</x:v>
      </x:c>
      <x:c r="J152" s="26" t="n">
        <x:f>G152*H152*I152</x:f>
        <x:v>2</x:v>
      </x:c>
      <x:c r="K152" s="26" t="n">
        <x:f>IF('03_Спец_РД'!I52="","",'03_Спец_РД'!I52)</x:f>
        <x:v>2.16</x:v>
      </x:c>
      <x:c r="L152" s="26" t="n">
        <x:f>IF(K152="","",J152*K152)</x:f>
        <x:v>4.32</x:v>
      </x:c>
      <x:c r="M152" s="23" t="str">
        <x:v>Металлопрокат</x:v>
      </x:c>
      <x:c r="N152" s="23" t="str">
        <x:v>АС.2 л.57; PDF 67</x:v>
      </x:c>
      <x:c r="O152" s="23" t="str">
        <x:v>S57_МБ2_2</x:v>
      </x:c>
      <x:c r="P152" s="23" t="str"/>
      <x:c r="Q152" s="26" t="n">
        <x:f>IF('03_Спец_РД'!N52="","",'03_Спец_РД'!N52)</x:f>
        <x:v>200</x:v>
      </x:c>
      <x:c r="R152" s="26" t="n">
        <x:f>IF(F152="м",J152,IF(Q152="","",J152*Q152/1000))</x:f>
        <x:v>0.4</x:v>
      </x:c>
    </x:row>
    <x:row r="153" ht="54" customHeight="1">
      <x:c r="A153" s="23" t="str">
        <x:v>L1_МБ3_F3/1</x:v>
      </x:c>
      <x:c r="B153" s="23" t="str">
        <x:v>F3</x:v>
      </x:c>
      <x:c r="C153" s="23" t="str">
        <x:v>МБ3</x:v>
      </x:c>
      <x:c r="D153" s="23" t="str">
        <x:v>1</x:v>
      </x:c>
      <x:c r="E153" s="23" t="str">
        <x:v>Швеллер 27П; С245; ГОСТ 8240-97; L=2830 мм</x:v>
      </x:c>
      <x:c r="F153" s="23" t="str">
        <x:v>шт</x:v>
      </x:c>
      <x:c r="G153" s="26" t="n">
        <x:f>'03_Спец_РД'!H53</x:f>
        <x:v>1</x:v>
      </x:c>
      <x:c r="H153" s="26" t="n">
        <x:f>'02_Экземпляры'!F38</x:f>
        <x:v>1</x:v>
      </x:c>
      <x:c r="I153" s="26" t="n">
        <x:f>1</x:f>
        <x:v>1</x:v>
      </x:c>
      <x:c r="J153" s="26" t="n">
        <x:f>G153*H153*I153</x:f>
        <x:v>1</x:v>
      </x:c>
      <x:c r="K153" s="26" t="n">
        <x:f>IF('03_Спец_РД'!I53="","",'03_Спец_РД'!I53)</x:f>
        <x:v>78.39</x:v>
      </x:c>
      <x:c r="L153" s="26" t="n">
        <x:f>IF(K153="","",J153*K153)</x:f>
        <x:v>78.39</x:v>
      </x:c>
      <x:c r="M153" s="23" t="str">
        <x:v>Металлопрокат</x:v>
      </x:c>
      <x:c r="N153" s="23" t="str">
        <x:v>АС.2 л.57; PDF 67</x:v>
      </x:c>
      <x:c r="O153" s="23" t="str">
        <x:v>S57_МБ3_1</x:v>
      </x:c>
      <x:c r="P153" s="23" t="str"/>
      <x:c r="Q153" s="26" t="n">
        <x:f>IF('03_Спец_РД'!N53="","",'03_Спец_РД'!N53)</x:f>
        <x:v>2830</x:v>
      </x:c>
      <x:c r="R153" s="26" t="n">
        <x:f>IF(F153="м",J153,IF(Q153="","",J153*Q153/1000))</x:f>
        <x:v>2.83</x:v>
      </x:c>
    </x:row>
    <x:row r="154" ht="54" customHeight="1">
      <x:c r="A154" s="23" t="str">
        <x:v>L1_МБ3_F3/2</x:v>
      </x:c>
      <x:c r="B154" s="23" t="str">
        <x:v>F3</x:v>
      </x:c>
      <x:c r="C154" s="23" t="str">
        <x:v>МБ3</x:v>
      </x:c>
      <x:c r="D154" s="23" t="str">
        <x:v>2</x:v>
      </x:c>
      <x:c r="E154" s="23" t="str">
        <x:v>Уголок 100×7; С245; ГОСТ 8509-93; L=200 мм</x:v>
      </x:c>
      <x:c r="F154" s="23" t="str">
        <x:v>шт</x:v>
      </x:c>
      <x:c r="G154" s="26" t="n">
        <x:f>'03_Спец_РД'!H54</x:f>
        <x:v>2</x:v>
      </x:c>
      <x:c r="H154" s="26" t="n">
        <x:f>'02_Экземпляры'!F38</x:f>
        <x:v>1</x:v>
      </x:c>
      <x:c r="I154" s="26" t="n">
        <x:f>1</x:f>
        <x:v>1</x:v>
      </x:c>
      <x:c r="J154" s="26" t="n">
        <x:f>G154*H154*I154</x:f>
        <x:v>2</x:v>
      </x:c>
      <x:c r="K154" s="26" t="n">
        <x:f>IF('03_Спец_РД'!I54="","",'03_Спец_РД'!I54)</x:f>
        <x:v>2.16</x:v>
      </x:c>
      <x:c r="L154" s="26" t="n">
        <x:f>IF(K154="","",J154*K154)</x:f>
        <x:v>4.32</x:v>
      </x:c>
      <x:c r="M154" s="23" t="str">
        <x:v>Металлопрокат</x:v>
      </x:c>
      <x:c r="N154" s="23" t="str">
        <x:v>АС.2 л.57; PDF 67</x:v>
      </x:c>
      <x:c r="O154" s="23" t="str">
        <x:v>S57_МБ3_2</x:v>
      </x:c>
      <x:c r="P154" s="23" t="str"/>
      <x:c r="Q154" s="26" t="n">
        <x:f>IF('03_Спец_РД'!N54="","",'03_Спец_РД'!N54)</x:f>
        <x:v>200</x:v>
      </x:c>
      <x:c r="R154" s="26" t="n">
        <x:f>IF(F154="м",J154,IF(Q154="","",J154*Q154/1000))</x:f>
        <x:v>0.4</x:v>
      </x:c>
    </x:row>
    <x:row r="155" ht="54" customHeight="1">
      <x:c r="A155" s="23" t="str">
        <x:v>L1_ЛС1_F3/Изделие</x:v>
      </x:c>
      <x:c r="B155" s="23" t="str">
        <x:v>F3</x:v>
      </x:c>
      <x:c r="C155" s="23" t="str">
        <x:v>ЛС1</x:v>
      </x:c>
      <x:c r="D155" s="23" t="str">
        <x:v>Изделие</x:v>
      </x:c>
      <x:c r="E155" s="23" t="str">
        <x:v>Ступень ЛС12; ГОСТ 8717-2016</x:v>
      </x:c>
      <x:c r="F155" s="23" t="str">
        <x:v>шт</x:v>
      </x:c>
      <x:c r="G155" s="26" t="n">
        <x:f>'03_Спец_РД'!H139</x:f>
        <x:v>1</x:v>
      </x:c>
      <x:c r="H155" s="26" t="n">
        <x:f>'02_Экземпляры'!F39</x:f>
        <x:v>26</x:v>
      </x:c>
      <x:c r="I155" s="26" t="n">
        <x:f>1</x:f>
        <x:v>1</x:v>
      </x:c>
      <x:c r="J155" s="26" t="n">
        <x:f>G155*H155*I155</x:f>
        <x:v>26</x:v>
      </x:c>
      <x:c r="K155" s="26" t="n">
        <x:f>IF('03_Спец_РД'!I139="","",'03_Спец_РД'!I139)</x:f>
        <x:v>128</x:v>
      </x:c>
      <x:c r="L155" s="26" t="n">
        <x:f>IF(K155="","",J155*K155)</x:f>
        <x:v>3328</x:v>
      </x:c>
      <x:c r="M155" s="23" t="str">
        <x:v>Сборный ЖБИ</x:v>
      </x:c>
      <x:c r="N155" s="23" t="str">
        <x:v>АС.2 л.56; PDF 66</x:v>
      </x:c>
      <x:c r="O155" s="23" t="str">
        <x:v>S56_ЛС1_Изделие</x:v>
      </x:c>
      <x:c r="P155" s="23" t="str">
        <x:v>Разбивка ЛС1 по геометрии: 11+11;11+11;13+13. Общий итог 70 — л.56.; Единица изделия; количество применяется по реестру экземпляров. Геометрия изделий габаритная.</x:v>
      </x:c>
      <x:c r="Q155" s="26" t="str">
        <x:f>IF('03_Спец_РД'!N139="","",'03_Спец_РД'!N139)</x:f>
      </x:c>
      <x:c r="R155" s="26" t="str">
        <x:f>IF(F155="м",J155,IF(Q155="","",J155*Q155/1000))</x:f>
      </x:c>
    </x:row>
    <x:row r="156" ht="54" customHeight="1">
      <x:c r="A156" s="23" t="str">
        <x:v>L1_ОП1_F3/Изделие</x:v>
      </x:c>
      <x:c r="B156" s="23" t="str">
        <x:v>F3</x:v>
      </x:c>
      <x:c r="C156" s="23" t="str">
        <x:v>ОП1</x:v>
      </x:c>
      <x:c r="D156" s="23" t="str">
        <x:v>Изделие</x:v>
      </x:c>
      <x:c r="E156" s="23" t="str">
        <x:v>Опорная подушка ОП1; серия 1.069-1, вып.1</x:v>
      </x:c>
      <x:c r="F156" s="23" t="str">
        <x:v>шт</x:v>
      </x:c>
      <x:c r="G156" s="26" t="n">
        <x:f>'03_Спец_РД'!H140</x:f>
        <x:v>1</x:v>
      </x:c>
      <x:c r="H156" s="26" t="n">
        <x:f>'02_Экземпляры'!F40</x:f>
        <x:v>8</x:v>
      </x:c>
      <x:c r="I156" s="26" t="n">
        <x:f>1</x:f>
        <x:v>1</x:v>
      </x:c>
      <x:c r="J156" s="26" t="n">
        <x:f>G156*H156*I156</x:f>
        <x:v>8</x:v>
      </x:c>
      <x:c r="K156" s="26" t="n">
        <x:f>IF('03_Спец_РД'!I140="","",'03_Спец_РД'!I140)</x:f>
        <x:v>33</x:v>
      </x:c>
      <x:c r="L156" s="26" t="n">
        <x:f>IF(K156="","",J156*K156)</x:f>
        <x:v>264</x:v>
      </x:c>
      <x:c r="M156" s="23" t="str">
        <x:v>Сборный ЖБИ</x:v>
      </x:c>
      <x:c r="N156" s="23" t="str">
        <x:v>АС.2 л.56; PDF 66</x:v>
      </x:c>
      <x:c r="O156" s="23" t="str">
        <x:v>S56_ОП1_Изделие</x:v>
      </x:c>
      <x:c r="P156" s="23" t="str">
        <x:v>Единица изделия; количество применяется по реестру экземпляров. Геометрия изделий габаритная.</x:v>
      </x:c>
      <x:c r="Q156" s="26" t="str">
        <x:f>IF('03_Спец_РД'!N140="","",'03_Спец_РД'!N140)</x:f>
      </x:c>
      <x:c r="R156" s="26" t="str">
        <x:f>IF(F156="м",J156,IF(Q156="","",J156*Q156/1000))</x:f>
      </x:c>
    </x:row>
    <x:row r="157" ht="54" customHeight="1">
      <x:c r="A157" s="23" t="str">
        <x:v>L1_ПР1_F3/Изделие</x:v>
      </x:c>
      <x:c r="B157" s="23" t="str">
        <x:v>F3</x:v>
      </x:c>
      <x:c r="C157" s="23" t="str">
        <x:v>ПР1</x:v>
      </x:c>
      <x:c r="D157" s="23" t="str">
        <x:v>Изделие</x:v>
      </x:c>
      <x:c r="E157" s="23" t="str">
        <x:v>Перемычка 3ПБ18-8; серия 1.038-1, вып.1</x:v>
      </x:c>
      <x:c r="F157" s="23" t="str">
        <x:v>шт</x:v>
      </x:c>
      <x:c r="G157" s="26" t="n">
        <x:f>'03_Спец_РД'!H141</x:f>
        <x:v>1</x:v>
      </x:c>
      <x:c r="H157" s="26" t="n">
        <x:f>'02_Экземпляры'!F41</x:f>
        <x:v>2</x:v>
      </x:c>
      <x:c r="I157" s="26" t="n">
        <x:f>1</x:f>
        <x:v>1</x:v>
      </x:c>
      <x:c r="J157" s="26" t="n">
        <x:f>G157*H157*I157</x:f>
        <x:v>2</x:v>
      </x:c>
      <x:c r="K157" s="26" t="n">
        <x:f>IF('03_Спец_РД'!I141="","",'03_Спец_РД'!I141)</x:f>
        <x:v>119</x:v>
      </x:c>
      <x:c r="L157" s="26" t="n">
        <x:f>IF(K157="","",J157*K157)</x:f>
        <x:v>238</x:v>
      </x:c>
      <x:c r="M157" s="23" t="str">
        <x:v>Сборный ЖБИ</x:v>
      </x:c>
      <x:c r="N157" s="23" t="str">
        <x:v>АС.2 л.56; PDF 66</x:v>
      </x:c>
      <x:c r="O157" s="23" t="str">
        <x:v>S56_ПР1_Изделие</x:v>
      </x:c>
      <x:c r="P157" s="23" t="str">
        <x:v>Единица изделия; количество применяется по реестру экземпляров. Геометрия изделий габаритная.</x:v>
      </x:c>
      <x:c r="Q157" s="26" t="str">
        <x:f>IF('03_Спец_РД'!N141="","",'03_Спец_РД'!N141)</x:f>
      </x:c>
      <x:c r="R157" s="26" t="str">
        <x:f>IF(F157="м",J157,IF(Q157="","",J157*Q157/1000))</x:f>
      </x:c>
    </x:row>
    <x:row r="158" ht="54" customHeight="1">
      <x:c r="A158" s="23" t="str">
        <x:v>L1_ПР3_RF/Изделие</x:v>
      </x:c>
      <x:c r="B158" s="23" t="str">
        <x:v>RF</x:v>
      </x:c>
      <x:c r="C158" s="23" t="str">
        <x:v>ПР3</x:v>
      </x:c>
      <x:c r="D158" s="23" t="str">
        <x:v>Изделие</x:v>
      </x:c>
      <x:c r="E158" s="23" t="str">
        <x:v>Перемычка 5ПБ31-27; серия 1.038-1, вып.1</x:v>
      </x:c>
      <x:c r="F158" s="23" t="str">
        <x:v>шт</x:v>
      </x:c>
      <x:c r="G158" s="26" t="n">
        <x:f>'03_Спец_РД'!H143</x:f>
        <x:v>1</x:v>
      </x:c>
      <x:c r="H158" s="26" t="n">
        <x:f>'02_Экземпляры'!F42</x:f>
        <x:v>1</x:v>
      </x:c>
      <x:c r="I158" s="26" t="n">
        <x:f>1</x:f>
        <x:v>1</x:v>
      </x:c>
      <x:c r="J158" s="26" t="n">
        <x:f>G158*H158*I158</x:f>
        <x:v>1</x:v>
      </x:c>
      <x:c r="K158" s="26" t="n">
        <x:f>IF('03_Спец_РД'!I143="","",'03_Спец_РД'!I143)</x:f>
        <x:v>428</x:v>
      </x:c>
      <x:c r="L158" s="26" t="n">
        <x:f>IF(K158="","",J158*K158)</x:f>
        <x:v>428</x:v>
      </x:c>
      <x:c r="M158" s="23" t="str">
        <x:v>Сборный ЖБИ</x:v>
      </x:c>
      <x:c r="N158" s="23" t="str">
        <x:v>АС.2 л.56; PDF 66</x:v>
      </x:c>
      <x:c r="O158" s="23" t="str">
        <x:v>S56_ПР3_Изделие</x:v>
      </x:c>
      <x:c r="P158" s="23" t="str">
        <x:v>Единица изделия; количество применяется по реестру экземпляров. Геометрия изделий габаритная.</x:v>
      </x:c>
      <x:c r="Q158" s="26" t="str">
        <x:f>IF('03_Спец_РД'!N143="","",'03_Спец_РД'!N143)</x:f>
      </x:c>
      <x:c r="R158" s="26" t="str">
        <x:f>IF(F158="м",J158,IF(Q158="","",J158*Q158/1000))</x:f>
      </x:c>
    </x:row>
    <x:row r="159" ht="54" customHeight="1">
      <x:c r="A159" s="23" t="str">
        <x:v>L1_Крепёж/БСР</x:v>
      </x:c>
      <x:c r="B159" s="23" t="str">
        <x:v>F1</x:v>
      </x:c>
      <x:c r="C159" s="23" t="str">
        <x:v>Крепёж</x:v>
      </x:c>
      <x:c r="D159" s="23" t="str">
        <x:v>БСР</x:v>
      </x:c>
      <x:c r="E159" s="23" t="str">
        <x:v>Болт БСР M16×150 (основание КС1)</x:v>
      </x:c>
      <x:c r="F159" s="23" t="str">
        <x:v>шт</x:v>
      </x:c>
      <x:c r="G159" s="26" t="n">
        <x:f>'03_Спец_РД'!H144</x:f>
        <x:v>4</x:v>
      </x:c>
      <x:c r="H159" s="26" t="n">
        <x:f>1</x:f>
        <x:v>1</x:v>
      </x:c>
      <x:c r="I159" s="26" t="n">
        <x:f>1</x:f>
        <x:v>1</x:v>
      </x:c>
      <x:c r="J159" s="26" t="n">
        <x:f>G159*H159*I159</x:f>
        <x:v>4</x:v>
      </x:c>
      <x:c r="K159" s="26" t="str">
        <x:f>IF('03_Спец_РД'!I144="","",'03_Спец_РД'!I144)</x:f>
      </x:c>
      <x:c r="L159" s="26" t="str">
        <x:f>IF(K159="","",J159*K159)</x:f>
      </x:c>
      <x:c r="M159" s="23" t="str">
        <x:v>Крепёж</x:v>
      </x:c>
      <x:c r="N159" s="23" t="str">
        <x:v>АС.2 л.56; PDF 66</x:v>
      </x:c>
      <x:c r="O159" s="23" t="str">
        <x:v>S56_Крепёж_БСР</x:v>
      </x:c>
      <x:c r="P159" s="23" t="str">
        <x:v>БСР отнесены к 1 этажу; остальные оставлены общими, без произвольной поэтажной разбивки.; БСР отнесены к 1 этажу; остальные оставлены общими, без произвольной поэтажной разбивки.</x:v>
      </x:c>
      <x:c r="Q159" s="26" t="str">
        <x:f>IF('03_Спец_РД'!N144="","",'03_Спец_РД'!N144)</x:f>
      </x:c>
      <x:c r="R159" s="26" t="str">
        <x:f>IF(F159="м",J159,IF(Q159="","",J159*Q159/1000))</x:f>
      </x:c>
    </x:row>
    <x:row r="160" ht="54" customHeight="1">
      <x:c r="A160" s="23" t="str">
        <x:v>L1_Крепёж/Болт</x:v>
      </x:c>
      <x:c r="B160" s="23" t="str">
        <x:v>COM</x:v>
      </x:c>
      <x:c r="C160" s="23" t="str">
        <x:v>Крепёж</x:v>
      </x:c>
      <x:c r="D160" s="23" t="str">
        <x:v>Болт</x:v>
      </x:c>
      <x:c r="E160" s="23" t="str">
        <x:v>Болт M16×50-8.8; ГОСТ Р ИСО 4017</x:v>
      </x:c>
      <x:c r="F160" s="23" t="str">
        <x:v>шт</x:v>
      </x:c>
      <x:c r="G160" s="26" t="n">
        <x:f>'03_Спец_РД'!H145</x:f>
        <x:v>52</x:v>
      </x:c>
      <x:c r="H160" s="26" t="n">
        <x:f>1</x:f>
        <x:v>1</x:v>
      </x:c>
      <x:c r="I160" s="26" t="n">
        <x:f>1</x:f>
        <x:v>1</x:v>
      </x:c>
      <x:c r="J160" s="26" t="n">
        <x:f>G160*H160*I160</x:f>
        <x:v>52</x:v>
      </x:c>
      <x:c r="K160" s="26" t="str">
        <x:f>IF('03_Спец_РД'!I145="","",'03_Спец_РД'!I145)</x:f>
      </x:c>
      <x:c r="L160" s="26" t="str">
        <x:f>IF(K160="","",J160*K160)</x:f>
      </x:c>
      <x:c r="M160" s="23" t="str">
        <x:v>Крепёж</x:v>
      </x:c>
      <x:c r="N160" s="23" t="str">
        <x:v>АС.2 л.56; PDF 66</x:v>
      </x:c>
      <x:c r="O160" s="23" t="str">
        <x:v>S56_Крепёж_Болт</x:v>
      </x:c>
      <x:c r="P160" s="23" t="str">
        <x:v>БСР отнесены к 1 этажу; остальные оставлены общими, без произвольной поэтажной разбивки.; БСР отнесены к 1 этажу; остальные оставлены общими, без произвольной поэтажной разбивки.</x:v>
      </x:c>
      <x:c r="Q160" s="26" t="str">
        <x:f>IF('03_Спец_РД'!N145="","",'03_Спец_РД'!N145)</x:f>
      </x:c>
      <x:c r="R160" s="26" t="str">
        <x:f>IF(F160="м",J160,IF(Q160="","",J160*Q160/1000))</x:f>
      </x:c>
    </x:row>
    <x:row r="161" ht="54" customHeight="1">
      <x:c r="A161" s="23" t="str">
        <x:v>L1_Крепёж/Шайба</x:v>
      </x:c>
      <x:c r="B161" s="23" t="str">
        <x:v>COM</x:v>
      </x:c>
      <x:c r="C161" s="23" t="str">
        <x:v>Крепёж</x:v>
      </x:c>
      <x:c r="D161" s="23" t="str">
        <x:v>Шайба</x:v>
      </x:c>
      <x:c r="E161" s="23" t="str">
        <x:v>Шайба M16; ГОСТ 11371-78</x:v>
      </x:c>
      <x:c r="F161" s="23" t="str">
        <x:v>шт</x:v>
      </x:c>
      <x:c r="G161" s="26" t="n">
        <x:f>'03_Спец_РД'!H146</x:f>
        <x:v>104</x:v>
      </x:c>
      <x:c r="H161" s="26" t="n">
        <x:f>1</x:f>
        <x:v>1</x:v>
      </x:c>
      <x:c r="I161" s="26" t="n">
        <x:f>1</x:f>
        <x:v>1</x:v>
      </x:c>
      <x:c r="J161" s="26" t="n">
        <x:f>G161*H161*I161</x:f>
        <x:v>104</x:v>
      </x:c>
      <x:c r="K161" s="26" t="str">
        <x:f>IF('03_Спец_РД'!I146="","",'03_Спец_РД'!I146)</x:f>
      </x:c>
      <x:c r="L161" s="26" t="str">
        <x:f>IF(K161="","",J161*K161)</x:f>
      </x:c>
      <x:c r="M161" s="23" t="str">
        <x:v>Крепёж</x:v>
      </x:c>
      <x:c r="N161" s="23" t="str">
        <x:v>АС.2 л.56; PDF 66</x:v>
      </x:c>
      <x:c r="O161" s="23" t="str">
        <x:v>S56_Крепёж_Шайба</x:v>
      </x:c>
      <x:c r="P161" s="23" t="str">
        <x:v>БСР отнесены к 1 этажу; остальные оставлены общими, без произвольной поэтажной разбивки.; БСР отнесены к 1 этажу; остальные оставлены общими, без произвольной поэтажной разбивки.</x:v>
      </x:c>
      <x:c r="Q161" s="26" t="str">
        <x:f>IF('03_Спец_РД'!N146="","",'03_Спец_РД'!N146)</x:f>
      </x:c>
      <x:c r="R161" s="26" t="str">
        <x:f>IF(F161="м",J161,IF(Q161="","",J161*Q161/1000))</x:f>
      </x:c>
    </x:row>
    <x:row r="162" ht="54" customHeight="1">
      <x:c r="A162" s="23" t="str">
        <x:v>L1_Крепёж/Гайка</x:v>
      </x:c>
      <x:c r="B162" s="23" t="str">
        <x:v>COM</x:v>
      </x:c>
      <x:c r="C162" s="23" t="str">
        <x:v>Крепёж</x:v>
      </x:c>
      <x:c r="D162" s="23" t="str">
        <x:v>Гайка</x:v>
      </x:c>
      <x:c r="E162" s="23" t="str">
        <x:v>Гайка M16-8; ИСО 4032</x:v>
      </x:c>
      <x:c r="F162" s="23" t="str">
        <x:v>шт</x:v>
      </x:c>
      <x:c r="G162" s="26" t="n">
        <x:f>'03_Спец_РД'!H147</x:f>
        <x:v>104</x:v>
      </x:c>
      <x:c r="H162" s="26" t="n">
        <x:f>1</x:f>
        <x:v>1</x:v>
      </x:c>
      <x:c r="I162" s="26" t="n">
        <x:f>1</x:f>
        <x:v>1</x:v>
      </x:c>
      <x:c r="J162" s="26" t="n">
        <x:f>G162*H162*I162</x:f>
        <x:v>104</x:v>
      </x:c>
      <x:c r="K162" s="26" t="str">
        <x:f>IF('03_Спец_РД'!I147="","",'03_Спец_РД'!I147)</x:f>
      </x:c>
      <x:c r="L162" s="26" t="str">
        <x:f>IF(K162="","",J162*K162)</x:f>
      </x:c>
      <x:c r="M162" s="23" t="str">
        <x:v>Крепёж</x:v>
      </x:c>
      <x:c r="N162" s="23" t="str">
        <x:v>АС.2 л.56; PDF 66</x:v>
      </x:c>
      <x:c r="O162" s="23" t="str">
        <x:v>S56_Крепёж_Гайка</x:v>
      </x:c>
      <x:c r="P162" s="23" t="str">
        <x:v>БСР отнесены к 1 этажу; остальные оставлены общими, без произвольной поэтажной разбивки.; БСР отнесены к 1 этажу; остальные оставлены общими, без произвольной поэтажной разбивки.</x:v>
      </x:c>
      <x:c r="Q162" s="26" t="str">
        <x:f>IF('03_Спец_РД'!N147="","",'03_Спец_РД'!N147)</x:f>
      </x:c>
      <x:c r="R162" s="26" t="str">
        <x:f>IF(F162="м",J162,IF(Q162="","",J162*Q162/1000))</x:f>
      </x:c>
    </x:row>
    <x:row r="163" ht="54" customHeight="1">
      <x:c r="A163" s="23" t="str">
        <x:v>L1_Огнезащита/Балки</x:v>
      </x:c>
      <x:c r="B163" s="23" t="str">
        <x:v>COM</x:v>
      </x:c>
      <x:c r="C163" s="23" t="str">
        <x:v>Огнезащита</x:v>
      </x:c>
      <x:c r="D163" s="23" t="str">
        <x:v>Балки</x:v>
      </x:c>
      <x:c r="E163" s="23" t="str">
        <x:v>Огнезащитная облицовка балок R60; КНАУФ-Файерборд 12,5 мм, 2 слоя</x:v>
      </x:c>
      <x:c r="F163" s="23" t="str">
        <x:v>м²</x:v>
      </x:c>
      <x:c r="G163" s="26" t="n">
        <x:f>'03_Спец_РД'!H148</x:f>
        <x:v>15.6</x:v>
      </x:c>
      <x:c r="H163" s="26" t="n">
        <x:f>1</x:f>
        <x:v>1</x:v>
      </x:c>
      <x:c r="I163" s="26" t="n">
        <x:f>1</x:f>
        <x:v>1</x:v>
      </x:c>
      <x:c r="J163" s="26" t="n">
        <x:f>G163*H163*I163</x:f>
        <x:v>15.6</x:v>
      </x:c>
      <x:c r="K163" s="26" t="str">
        <x:f>IF('03_Спец_РД'!I148="","",'03_Спец_РД'!I148)</x:f>
      </x:c>
      <x:c r="L163" s="26" t="str">
        <x:f>IF(K163="","",J163*K163)</x:f>
      </x:c>
      <x:c r="M163" s="23" t="str">
        <x:v>Огнезащита</x:v>
      </x:c>
      <x:c r="N163" s="23" t="str">
        <x:v>АС.2 л.70; PDF 80</x:v>
      </x:c>
      <x:c r="O163" s="23" t="str">
        <x:v>S70_Огнезащита_Балки</x:v>
      </x:c>
      <x:c r="P163" s="23" t="str">
        <x:v>Дополнение вне 47–69 по прямой ссылке л.55. Площадь поверхности короба, не двух слоёв.; Дополнение вне 47–69 по прямой ссылке л.55. Площадь поверхности короба, не двух слоёв.</x:v>
      </x:c>
      <x:c r="Q163" s="26" t="str">
        <x:f>IF('03_Спец_РД'!N148="","",'03_Спец_РД'!N148)</x:f>
      </x:c>
      <x:c r="R163" s="26" t="str">
        <x:f>IF(F163="м",J163,IF(Q163="","",J163*Q163/1000))</x:f>
      </x:c>
    </x:row>
    <x:row r="164" ht="54" customHeight="1">
      <x:c r="A164" s="23" t="str">
        <x:v>L1_Огнезащита/Косоуры</x:v>
      </x:c>
      <x:c r="B164" s="23" t="str">
        <x:v>COM</x:v>
      </x:c>
      <x:c r="C164" s="23" t="str">
        <x:v>Огнезащита</x:v>
      </x:c>
      <x:c r="D164" s="23" t="str">
        <x:v>Косоуры</x:v>
      </x:c>
      <x:c r="E164" s="23" t="str">
        <x:v>Огнезащитная облицовка косоуров R60; КНАУФ-Файерборд 12,5 мм, 2 слоя</x:v>
      </x:c>
      <x:c r="F164" s="23" t="str">
        <x:v>м²</x:v>
      </x:c>
      <x:c r="G164" s="26" t="n">
        <x:f>'03_Спец_РД'!H149</x:f>
        <x:v>26.7</x:v>
      </x:c>
      <x:c r="H164" s="26" t="n">
        <x:f>1</x:f>
        <x:v>1</x:v>
      </x:c>
      <x:c r="I164" s="26" t="n">
        <x:f>1</x:f>
        <x:v>1</x:v>
      </x:c>
      <x:c r="J164" s="26" t="n">
        <x:f>G164*H164*I164</x:f>
        <x:v>26.7</x:v>
      </x:c>
      <x:c r="K164" s="26" t="str">
        <x:f>IF('03_Спец_РД'!I149="","",'03_Спец_РД'!I149)</x:f>
      </x:c>
      <x:c r="L164" s="26" t="str">
        <x:f>IF(K164="","",J164*K164)</x:f>
      </x:c>
      <x:c r="M164" s="23" t="str">
        <x:v>Огнезащита</x:v>
      </x:c>
      <x:c r="N164" s="23" t="str">
        <x:v>АС.2 л.70; PDF 80</x:v>
      </x:c>
      <x:c r="O164" s="23" t="str">
        <x:v>S70_Огнезащита_Косоуры</x:v>
      </x:c>
      <x:c r="P164" s="23" t="str">
        <x:v>Общая позиция. Раскладка и распределение поверхностей по этажам в РД не приведены.; Общая позиция. Раскладка и распределение поверхностей по этажам в РД не приведены.</x:v>
      </x:c>
      <x:c r="Q164" s="26" t="str">
        <x:f>IF('03_Спец_РД'!N149="","",'03_Спец_РД'!N149)</x:f>
      </x:c>
      <x:c r="R164" s="26" t="str">
        <x:f>IF(F164="м",J164,IF(Q164="","",J164*Q164/1000))</x:f>
      </x:c>
    </x:row>
  </x:sheetData>
  <x:mergeCells>
    <x:mergeCell ref="A1:R1"/>
    <x:mergeCell ref="A2:R3"/>
  </x:mergeCells>
  <x:pageMargins left="0.7" right="0.7" top="0.75" bottom="0.75" header="0.3" footer="0.3"/>
  <x:tableParts count="1">
    <x:tablePart xmlns:r="http://schemas.openxmlformats.org/officeDocument/2006/relationships" r:id="Rc5d4060e694645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5" hidden="0" customWidth="1"/>
    <x:col min="3" max="3" width="12" hidden="0" customWidth="1"/>
    <x:col min="4" max="4" width="15" hidden="0" customWidth="1"/>
    <x:col min="5" max="5" width="75" hidden="0" customWidth="1"/>
  </x:cols>
  <x:sheetData>
    <x:row r="1" ht="32" customHeight="1">
      <x:c r="A1" s="4" t="str">
        <x:v>Л-1 / ИСХОДНЫЕ РАЗМЕРЫ ДЛЯ КОНТРОЛЯ</x:v>
      </x:c>
      <x:c r="B1" s="4"/>
      <x:c r="C1" s="4"/>
      <x:c r="D1" s="4"/>
      <x:c r="E1" s="4"/>
    </x:row>
    <x:row r="2" ht="23" customHeight="1">
      <x:c r="A2" s="10" t="str">
        <x:v>Это отдельная расчётная база, не замена спецификации РД. Синие числовые ячейки — исходные/принятые параметры. Изменения размеров не изменяют файл 3D автоматически.</x:v>
      </x:c>
      <x:c r="B2" s="10"/>
      <x:c r="C2" s="10"/>
      <x:c r="D2" s="10"/>
      <x:c r="E2" s="10"/>
    </x:row>
    <x:row r="3" ht="23" customHeight="1">
      <x:c r="A3" s="10"/>
      <x:c r="B3" s="10"/>
      <x:c r="C3" s="10"/>
      <x:c r="D3" s="10"/>
      <x:c r="E3" s="10"/>
    </x:row>
    <x:row r="5" ht="38" customHeight="1">
      <x:c r="A5" s="17" t="str">
        <x:v>Параметр</x:v>
      </x:c>
      <x:c r="B5" s="17" t="str">
        <x:v>Значение</x:v>
      </x:c>
      <x:c r="C5" s="17" t="str">
        <x:v>Ед.</x:v>
      </x:c>
      <x:c r="D5" s="17" t="str">
        <x:v>Лист</x:v>
      </x:c>
      <x:c r="E5" s="17" t="str">
        <x:v>Содержание / статус</x:v>
      </x:c>
    </x:row>
    <x:row r="6" ht="36" customHeight="1">
      <x:c r="A6" s="23" t="str">
        <x:v>fp_w</x:v>
      </x:c>
      <x:c r="B6" s="32" t="n">
        <x:v>3.1</x:v>
      </x:c>
      <x:c r="C6" s="23" t="str">
        <x:v>м</x:v>
      </x:c>
      <x:c r="D6" s="23" t="str">
        <x:v>АС.2 47</x:v>
      </x:c>
      <x:c r="E6" s="23" t="str">
        <x:v>Ширина основной части Фп-1</x:v>
      </x:c>
    </x:row>
    <x:row r="7" ht="36" customHeight="1">
      <x:c r="A7" s="23" t="str">
        <x:v>fp_l</x:v>
      </x:c>
      <x:c r="B7" s="32" t="n">
        <x:v>7.1</x:v>
      </x:c>
      <x:c r="C7" s="23" t="str">
        <x:v>м</x:v>
      </x:c>
      <x:c r="D7" s="23" t="str">
        <x:v>АС.2 47</x:v>
      </x:c>
      <x:c r="E7" s="23" t="str">
        <x:v>Длина основной части Фп-1</x:v>
      </x:c>
    </x:row>
    <x:row r="8" ht="36" customHeight="1">
      <x:c r="A8" s="23" t="str">
        <x:v>fp_t</x:v>
      </x:c>
      <x:c r="B8" s="32" t="n">
        <x:v>0.3</x:v>
      </x:c>
      <x:c r="C8" s="23" t="str">
        <x:v>м</x:v>
      </x:c>
      <x:c r="D8" s="23" t="str">
        <x:v>АС.2 47</x:v>
      </x:c>
      <x:c r="E8" s="23" t="str">
        <x:v>Толщина Фп-1</x:v>
      </x:c>
    </x:row>
    <x:row r="9" ht="36" customHeight="1">
      <x:c r="A9" s="23" t="str">
        <x:v>fp_tongue_w</x:v>
      </x:c>
      <x:c r="B9" s="32" t="n">
        <x:v>1.295</x:v>
      </x:c>
      <x:c r="C9" s="23" t="str">
        <x:v>м</x:v>
      </x:c>
      <x:c r="D9" s="23" t="str">
        <x:v>АС.2 47</x:v>
      </x:c>
      <x:c r="E9" s="23" t="str">
        <x:v>Ширина выступа; альтернативная цепочка отличается на 5 мм</x:v>
      </x:c>
    </x:row>
    <x:row r="10" ht="36" customHeight="1">
      <x:c r="A10" s="23" t="str">
        <x:v>fp_tongue_l</x:v>
      </x:c>
      <x:c r="B10" s="32" t="n">
        <x:v>2.9</x:v>
      </x:c>
      <x:c r="C10" s="23" t="str">
        <x:v>м</x:v>
      </x:c>
      <x:c r="D10" s="23" t="str">
        <x:v>АС.2 47</x:v>
      </x:c>
      <x:c r="E10" s="23" t="str">
        <x:v>Длина выступа</x:v>
      </x:c>
    </x:row>
    <x:row r="11" ht="36" customHeight="1">
      <x:c r="A11" s="23" t="str">
        <x:v>prep_t</x:v>
      </x:c>
      <x:c r="B11" s="32" t="n">
        <x:v>0.1</x:v>
      </x:c>
      <x:c r="C11" s="23" t="str">
        <x:v>м</x:v>
      </x:c>
      <x:c r="D11" s="23" t="str">
        <x:v>АС.2 47</x:v>
      </x:c>
      <x:c r="E11" s="23" t="str">
        <x:v>Толщина подготовки</x:v>
      </x:c>
    </x:row>
    <x:row r="12" ht="36" customHeight="1">
      <x:c r="A12" s="23" t="str">
        <x:v>prep_out</x:v>
      </x:c>
      <x:c r="B12" s="32" t="n">
        <x:v>0.2</x:v>
      </x:c>
      <x:c r="C12" s="23" t="str">
        <x:v>м</x:v>
      </x:c>
      <x:c r="D12" s="23" t="str">
        <x:v>АС.2 47</x:v>
      </x:c>
      <x:c r="E12" s="23" t="str">
        <x:v>Выпуск подготовки по разрезу; по периметру — допущение</x:v>
      </x:c>
    </x:row>
    <x:row r="13" ht="36" customHeight="1">
      <x:c r="A13" s="23" t="str">
        <x:v>pp_w</x:v>
      </x:c>
      <x:c r="B13" s="32" t="n">
        <x:v>2.85</x:v>
      </x:c>
      <x:c r="C13" s="23" t="str">
        <x:v>м</x:v>
      </x:c>
      <x:c r="D13" s="23" t="str">
        <x:v>АС.2 69</x:v>
      </x:c>
      <x:c r="E13" s="23" t="str">
        <x:v>Габарит Пп-1</x:v>
      </x:c>
    </x:row>
    <x:row r="14" ht="36" customHeight="1">
      <x:c r="A14" s="23" t="str">
        <x:v>pp_l</x:v>
      </x:c>
      <x:c r="B14" s="32" t="n">
        <x:v>6.99</x:v>
      </x:c>
      <x:c r="C14" s="23" t="str">
        <x:v>м</x:v>
      </x:c>
      <x:c r="D14" s="23" t="str">
        <x:v>АС.2 69</x:v>
      </x:c>
      <x:c r="E14" s="23" t="str">
        <x:v>Габарит Пп-1</x:v>
      </x:c>
    </x:row>
    <x:row r="15" ht="36" customHeight="1">
      <x:c r="A15" s="23" t="str">
        <x:v>pp_t</x:v>
      </x:c>
      <x:c r="B15" s="32" t="n">
        <x:v>0.2</x:v>
      </x:c>
      <x:c r="C15" s="23" t="str">
        <x:v>м</x:v>
      </x:c>
      <x:c r="D15" s="23" t="str">
        <x:v>АС.2 69</x:v>
      </x:c>
      <x:c r="E15" s="23" t="str">
        <x:v>Толщина 200 мм при противоречивых отметках</x:v>
      </x:c>
    </x:row>
    <x:row r="16" ht="36" customHeight="1">
      <x:c r="A16" s="23" t="str">
        <x:v>pp_hole_w</x:v>
      </x:c>
      <x:c r="B16" s="32" t="n">
        <x:v>0.7</x:v>
      </x:c>
      <x:c r="C16" s="23" t="str">
        <x:v>м</x:v>
      </x:c>
      <x:c r="D16" s="23" t="str">
        <x:v>АС.2 69</x:v>
      </x:c>
      <x:c r="E16" s="23" t="str">
        <x:v>Надпись отверстия 700 мм; размерная цепочка 750 мм</x:v>
      </x:c>
    </x:row>
    <x:row r="17" ht="36" customHeight="1">
      <x:c r="A17" s="23" t="str">
        <x:v>pp_hole_l</x:v>
      </x:c>
      <x:c r="B17" s="32" t="n">
        <x:v>0.7</x:v>
      </x:c>
      <x:c r="C17" s="23" t="str">
        <x:v>м</x:v>
      </x:c>
      <x:c r="D17" s="23" t="str">
        <x:v>АС.2 69</x:v>
      </x:c>
      <x:c r="E17" s="23" t="str">
        <x:v>Надпись отверстия 700 мм; размерная цепочка 750 мм</x:v>
      </x:c>
    </x:row>
    <x:row r="18" ht="36" customHeight="1">
      <x:c r="A18" s="23" t="str">
        <x:v>core_clear_w</x:v>
      </x:c>
      <x:c r="B18" s="32" t="n">
        <x:v>2.59</x:v>
      </x:c>
      <x:c r="C18" s="23" t="str">
        <x:v>м</x:v>
      </x:c>
      <x:c r="D18" s="23" t="str">
        <x:v>АС.2 55</x:v>
      </x:c>
      <x:c r="E18" s="23" t="str">
        <x:v>Чистая ширина ядра</x:v>
      </x:c>
    </x:row>
    <x:row r="19" ht="36" customHeight="1">
      <x:c r="A19" s="23" t="str">
        <x:v>core_clear_l</x:v>
      </x:c>
      <x:c r="B19" s="32" t="n">
        <x:v>6.61</x:v>
      </x:c>
      <x:c r="C19" s="23" t="str">
        <x:v>м</x:v>
      </x:c>
      <x:c r="D19" s="23" t="str">
        <x:v>АС.2 55</x:v>
      </x:c>
      <x:c r="E19" s="23" t="str">
        <x:v>Продольный габарит по разрезу, не окончательная цепочка</x:v>
      </x:c>
    </x:row>
    <x:row r="20" ht="36" customHeight="1">
      <x:c r="A20" s="23" t="str">
        <x:v>wall_t</x:v>
      </x:c>
      <x:c r="B20" s="32" t="n">
        <x:v>0.25</x:v>
      </x:c>
      <x:c r="C20" s="23" t="str">
        <x:v>м</x:v>
      </x:c>
      <x:c r="D20" s="23" t="str">
        <x:v>АС.2 55</x:v>
      </x:c>
      <x:c r="E20" s="23" t="str">
        <x:v>Толщина кирпичной стены</x:v>
      </x:c>
    </x:row>
    <x:row r="21" ht="36" customHeight="1">
      <x:c r="A21" s="23" t="str">
        <x:v>core_outer_w</x:v>
      </x:c>
      <x:c r="B21" s="32" t="n">
        <x:v>3.09</x:v>
      </x:c>
      <x:c r="C21" s="23" t="str">
        <x:v>м</x:v>
      </x:c>
      <x:c r="D21" s="23" t="str">
        <x:v>АС.2 49,55</x:v>
      </x:c>
      <x:c r="E21" s="23" t="str">
        <x:v>2,590 + 2×0,250</x:v>
      </x:c>
    </x:row>
    <x:row r="22" ht="36" customHeight="1">
      <x:c r="A22" s="23" t="str">
        <x:v>core_outer_l</x:v>
      </x:c>
      <x:c r="B22" s="32" t="n">
        <x:v>7.11</x:v>
      </x:c>
      <x:c r="C22" s="23" t="str">
        <x:v>м</x:v>
      </x:c>
      <x:c r="D22" s="23" t="str">
        <x:v>АС.2 55</x:v>
      </x:c>
      <x:c r="E22" s="23" t="str">
        <x:v>6,610 + 2×0,250, координационный габарит</x:v>
      </x:c>
    </x:row>
    <x:row r="23" ht="36" customHeight="1">
      <x:c r="A23" s="23" t="str">
        <x:v>height_F1</x:v>
      </x:c>
      <x:c r="B23" s="32" t="n">
        <x:v>3.7</x:v>
      </x:c>
      <x:c r="C23" s="23" t="str">
        <x:v>м</x:v>
      </x:c>
      <x:c r="D23" s="23" t="str">
        <x:v>АС.2 55</x:v>
      </x:c>
      <x:c r="E23" s="23" t="str">
        <x:v>−0,100…+3,600</x:v>
      </x:c>
    </x:row>
    <x:row r="24" ht="36" customHeight="1">
      <x:c r="A24" s="23" t="str">
        <x:v>height_F2</x:v>
      </x:c>
      <x:c r="B24" s="32" t="n">
        <x:v>3.6</x:v>
      </x:c>
      <x:c r="C24" s="23" t="str">
        <x:v>м</x:v>
      </x:c>
      <x:c r="D24" s="23" t="str">
        <x:v>АС.2 55</x:v>
      </x:c>
      <x:c r="E24" s="23" t="str">
        <x:v>+3,600…+7,200</x:v>
      </x:c>
    </x:row>
    <x:row r="25" ht="36" customHeight="1">
      <x:c r="A25" s="23" t="str">
        <x:v>height_F3</x:v>
      </x:c>
      <x:c r="B25" s="32" t="n">
        <x:v>4.2</x:v>
      </x:c>
      <x:c r="C25" s="23" t="str">
        <x:v>м</x:v>
      </x:c>
      <x:c r="D25" s="23" t="str">
        <x:v>АС.2 55</x:v>
      </x:c>
      <x:c r="E25" s="23" t="str">
        <x:v>+7,200…+11,400</x:v>
      </x:c>
    </x:row>
    <x:row r="26" ht="36" customHeight="1">
      <x:c r="A26" s="23" t="str">
        <x:v>height_RF</x:v>
      </x:c>
      <x:c r="B26" s="32" t="n">
        <x:v>2.15</x:v>
      </x:c>
      <x:c r="C26" s="23" t="str">
        <x:v>м</x:v>
      </x:c>
      <x:c r="D26" s="23" t="str">
        <x:v>АС.2 55,69</x:v>
      </x:c>
      <x:c r="E26" s="23" t="str">
        <x:v>+11,400…+13,550, принято для координации</x:v>
      </x:c>
    </x:row>
    <x:row r="27" ht="36" customHeight="1">
      <x:c r="A27" s="23" t="str">
        <x:v>door_w</x:v>
      </x:c>
      <x:c r="B27" s="32" t="n">
        <x:v>1.5</x:v>
      </x:c>
      <x:c r="C27" s="23" t="str">
        <x:v>м</x:v>
      </x:c>
      <x:c r="D27" s="23" t="str">
        <x:v>АС.2 55</x:v>
      </x:c>
      <x:c r="E27" s="23" t="str">
        <x:v>Основные проёмы</x:v>
      </x:c>
    </x:row>
    <x:row r="28" ht="36" customHeight="1">
      <x:c r="A28" s="23" t="str">
        <x:v>door_h</x:v>
      </x:c>
      <x:c r="B28" s="32" t="n">
        <x:v>2.1</x:v>
      </x:c>
      <x:c r="C28" s="23" t="str">
        <x:v>м</x:v>
      </x:c>
      <x:c r="D28" s="23" t="str">
        <x:v>АС.2 55</x:v>
      </x:c>
      <x:c r="E28" s="23" t="str">
        <x:v>Высота проёмов</x:v>
      </x:c>
    </x:row>
    <x:row r="29" ht="36" customHeight="1">
      <x:c r="A29" s="23" t="str">
        <x:v>roof_door_w</x:v>
      </x:c>
      <x:c r="B29" s="32" t="n">
        <x:v>1</x:v>
      </x:c>
      <x:c r="C29" s="23" t="str">
        <x:v>м</x:v>
      </x:c>
      <x:c r="D29" s="23" t="str">
        <x:v>АС.2 55</x:v>
      </x:c>
      <x:c r="E29" s="23" t="str">
        <x:v>Проём выхода на кровлю</x:v>
      </x:c>
    </x:row>
    <x:row r="30" ht="36" customHeight="1">
      <x:c r="A30" s="23" t="str">
        <x:v>south_extra_F3</x:v>
      </x:c>
      <x:c r="B30" s="32" t="n">
        <x:v>0.7</x:v>
      </x:c>
      <x:c r="C30" s="23" t="str">
        <x:v>м</x:v>
      </x:c>
      <x:c r="D30" s="23" t="str">
        <x:v>АС.2 55</x:v>
      </x:c>
      <x:c r="E30" s="23" t="str">
        <x:v>+10,700…+11,400; нижняя южная стена существующая</x:v>
      </x:c>
    </x:row>
    <x:row r="31" ht="36" customHeight="1">
      <x:c r="A31" s="23" t="str">
        <x:v>parapet_h</x:v>
      </x:c>
      <x:c r="B31" s="32" t="n">
        <x:v>0.77</x:v>
      </x:c>
      <x:c r="C31" s="23" t="str">
        <x:v>м</x:v>
      </x:c>
      <x:c r="D31" s="23" t="str">
        <x:v>АС.2 55</x:v>
      </x:c>
      <x:c r="E31" s="23" t="str">
        <x:v>+13,750…+14,520</x:v>
      </x:c>
    </x:row>
    <x:row r="32" ht="36" customHeight="1">
      <x:c r="A32" s="23" t="str">
        <x:v>LP_width</x:v>
      </x:c>
      <x:c r="B32" s="32" t="n">
        <x:v>2.59</x:v>
      </x:c>
      <x:c r="C32" s="23" t="str">
        <x:v>м</x:v>
      </x:c>
      <x:c r="D32" s="23" t="str">
        <x:v>АС.2 60–63</x:v>
      </x:c>
      <x:c r="E32" s="23" t="str">
        <x:v>Ширина площадок</x:v>
      </x:c>
    </x:row>
    <x:row r="33" ht="36" customHeight="1">
      <x:c r="A33" s="23" t="str">
        <x:v>LP_left_w</x:v>
      </x:c>
      <x:c r="B33" s="32" t="n">
        <x:v>1.22</x:v>
      </x:c>
      <x:c r="C33" s="23" t="str">
        <x:v>м</x:v>
      </x:c>
      <x:c r="D33" s="23" t="str">
        <x:v>АС.2 60–62</x:v>
      </x:c>
      <x:c r="E33" s="23" t="str">
        <x:v>Левая часть</x:v>
      </x:c>
    </x:row>
    <x:row r="34" ht="36" customHeight="1">
      <x:c r="A34" s="23" t="str">
        <x:v>LP_right_w</x:v>
      </x:c>
      <x:c r="B34" s="32" t="n">
        <x:v>1.37</x:v>
      </x:c>
      <x:c r="C34" s="23" t="str">
        <x:v>м</x:v>
      </x:c>
      <x:c r="D34" s="23" t="str">
        <x:v>АС.2 60–62</x:v>
      </x:c>
      <x:c r="E34" s="23" t="str">
        <x:v>Правая часть</x:v>
      </x:c>
    </x:row>
    <x:row r="35" ht="36" customHeight="1">
      <x:c r="A35" s="23" t="str">
        <x:v>LP1_left_d</x:v>
      </x:c>
      <x:c r="B35" s="32" t="n">
        <x:v>1.265</x:v>
      </x:c>
      <x:c r="C35" s="23" t="str">
        <x:v>м</x:v>
      </x:c>
      <x:c r="D35" s="23" t="str">
        <x:v>АС.2 60</x:v>
      </x:c>
      <x:c r="E35" s="23" t="str">
        <x:v>Глубина слева</x:v>
      </x:c>
    </x:row>
    <x:row r="36" ht="36" customHeight="1">
      <x:c r="A36" s="23" t="str">
        <x:v>LP1_right_d</x:v>
      </x:c>
      <x:c r="B36" s="32" t="n">
        <x:v>1.17</x:v>
      </x:c>
      <x:c r="C36" s="23" t="str">
        <x:v>м</x:v>
      </x:c>
      <x:c r="D36" s="23" t="str">
        <x:v>АС.2 60</x:v>
      </x:c>
      <x:c r="E36" s="23" t="str">
        <x:v>Глубина справа</x:v>
      </x:c>
    </x:row>
    <x:row r="37" ht="36" customHeight="1">
      <x:c r="A37" s="23" t="str">
        <x:v>LP2_left_d</x:v>
      </x:c>
      <x:c r="B37" s="32" t="n">
        <x:v>1.97</x:v>
      </x:c>
      <x:c r="C37" s="23" t="str">
        <x:v>м</x:v>
      </x:c>
      <x:c r="D37" s="23" t="str">
        <x:v>АС.2 61</x:v>
      </x:c>
      <x:c r="E37" s="23" t="str">
        <x:v>Глубина слева</x:v>
      </x:c>
    </x:row>
    <x:row r="38" ht="36" customHeight="1">
      <x:c r="A38" s="23" t="str">
        <x:v>LP2_right_d</x:v>
      </x:c>
      <x:c r="B38" s="32" t="n">
        <x:v>1.875</x:v>
      </x:c>
      <x:c r="C38" s="23" t="str">
        <x:v>м</x:v>
      </x:c>
      <x:c r="D38" s="23" t="str">
        <x:v>АС.2 61</x:v>
      </x:c>
      <x:c r="E38" s="23" t="str">
        <x:v>Глубина справа</x:v>
      </x:c>
    </x:row>
    <x:row r="39" ht="36" customHeight="1">
      <x:c r="A39" s="23" t="str">
        <x:v>LP3_left_d</x:v>
      </x:c>
      <x:c r="B39" s="32" t="n">
        <x:v>1.39</x:v>
      </x:c>
      <x:c r="C39" s="23" t="str">
        <x:v>м</x:v>
      </x:c>
      <x:c r="D39" s="23" t="str">
        <x:v>АС.2 62</x:v>
      </x:c>
      <x:c r="E39" s="23" t="str">
        <x:v>Глубина слева</x:v>
      </x:c>
    </x:row>
    <x:row r="40" ht="36" customHeight="1">
      <x:c r="A40" s="23" t="str">
        <x:v>LP3_right_d</x:v>
      </x:c>
      <x:c r="B40" s="32" t="n">
        <x:v>1.295</x:v>
      </x:c>
      <x:c r="C40" s="23" t="str">
        <x:v>м</x:v>
      </x:c>
      <x:c r="D40" s="23" t="str">
        <x:v>АС.2 62</x:v>
      </x:c>
      <x:c r="E40" s="23" t="str">
        <x:v>Глубина справа</x:v>
      </x:c>
    </x:row>
    <x:row r="41" ht="36" customHeight="1">
      <x:c r="A41" s="23" t="str">
        <x:v>LP4_d</x:v>
      </x:c>
      <x:c r="B41" s="32" t="n">
        <x:v>1.625</x:v>
      </x:c>
      <x:c r="C41" s="23" t="str">
        <x:v>м</x:v>
      </x:c>
      <x:c r="D41" s="23" t="str">
        <x:v>АС.2 63</x:v>
      </x:c>
      <x:c r="E41" s="23" t="str">
        <x:v>Глубина ЛП4</x:v>
      </x:c>
    </x:row>
    <x:row r="42" ht="36" customHeight="1">
      <x:c r="A42" s="23" t="str">
        <x:v>LP_envelope_t</x:v>
      </x:c>
      <x:c r="B42" s="32" t="n">
        <x:v>0.15</x:v>
      </x:c>
      <x:c r="C42" s="23" t="str">
        <x:v>м</x:v>
      </x:c>
      <x:c r="D42" s="23" t="str">
        <x:v>АС.2 60–64</x:v>
      </x:c>
      <x:c r="E42" s="23" t="str">
        <x:v>Огибающая, не объём бетона по профлисту</x:v>
      </x:c>
    </x:row>
    <x:row r="43" ht="36" customHeight="1">
      <x:c r="A43" s="23" t="str">
        <x:v>MU2_w</x:v>
      </x:c>
      <x:c r="B43" s="32" t="n">
        <x:v>2.83</x:v>
      </x:c>
      <x:c r="C43" s="23" t="str">
        <x:v>м</x:v>
      </x:c>
      <x:c r="D43" s="23" t="str">
        <x:v>АС.2 67</x:v>
      </x:c>
      <x:c r="E43" s="23" t="str">
        <x:v>Габарит МУ2</x:v>
      </x:c>
    </x:row>
    <x:row r="44" ht="36" customHeight="1">
      <x:c r="A44" s="23" t="str">
        <x:v>MU2_d</x:v>
      </x:c>
      <x:c r="B44" s="32" t="n">
        <x:v>1.53</x:v>
      </x:c>
      <x:c r="C44" s="23" t="str">
        <x:v>м</x:v>
      </x:c>
      <x:c r="D44" s="23" t="str">
        <x:v>АС.2 67</x:v>
      </x:c>
      <x:c r="E44" s="23" t="str">
        <x:v>Габарит МУ2</x:v>
      </x:c>
    </x:row>
    <x:row r="45" ht="36" customHeight="1">
      <x:c r="A45" s="23" t="str">
        <x:v>MU3_w</x:v>
      </x:c>
      <x:c r="B45" s="32" t="n">
        <x:v>2.83</x:v>
      </x:c>
      <x:c r="C45" s="23" t="str">
        <x:v>м</x:v>
      </x:c>
      <x:c r="D45" s="23" t="str">
        <x:v>АС.2 68</x:v>
      </x:c>
      <x:c r="E45" s="23" t="str">
        <x:v>Габарит МУ3</x:v>
      </x:c>
    </x:row>
    <x:row r="46" ht="36" customHeight="1">
      <x:c r="A46" s="23" t="str">
        <x:v>MU3_d</x:v>
      </x:c>
      <x:c r="B46" s="32" t="n">
        <x:v>1.51</x:v>
      </x:c>
      <x:c r="C46" s="23" t="str">
        <x:v>м</x:v>
      </x:c>
      <x:c r="D46" s="23" t="str">
        <x:v>АС.2 68</x:v>
      </x:c>
      <x:c r="E46" s="23" t="str">
        <x:v>Габарит МУ3</x:v>
      </x:c>
    </x:row>
    <x:row r="47" ht="36" customHeight="1">
      <x:c r="A47" s="23" t="str">
        <x:v>MU_t</x:v>
      </x:c>
      <x:c r="B47" s="32" t="n">
        <x:v>0.22</x:v>
      </x:c>
      <x:c r="C47" s="23" t="str">
        <x:v>м</x:v>
      </x:c>
      <x:c r="D47" s="23" t="str">
        <x:v>АС.2 67,68</x:v>
      </x:c>
      <x:c r="E47" s="23" t="str">
        <x:v>Толщина МУ2/МУ3</x:v>
      </x:c>
    </x:row>
    <x:row r="48" ht="36" customHeight="1">
      <x:c r="A48" s="23" t="str">
        <x:v>board_layers</x:v>
      </x:c>
      <x:c r="B48" s="32" t="n">
        <x:v>2</x:v>
      </x:c>
      <x:c r="C48" s="23" t="str">
        <x:v>слоя</x:v>
      </x:c>
      <x:c r="D48" s="23" t="str">
        <x:v>АС.2 70</x:v>
      </x:c>
      <x:c r="E48" s="23" t="str">
        <x:v>Два слоя по 12,5 мм, дополнительный лист</x:v>
      </x:c>
    </x:row>
    <x:row r="49" ht="36" customHeight="1">
      <x:c r="A49" s="23" t="str">
        <x:v>board_thickness</x:v>
      </x:c>
      <x:c r="B49" s="32" t="n">
        <x:v>12.5</x:v>
      </x:c>
      <x:c r="C49" s="23" t="str">
        <x:v>мм</x:v>
      </x:c>
      <x:c r="D49" s="23" t="str">
        <x:v>АС.2 70</x:v>
      </x:c>
      <x:c r="E49" s="23" t="str">
        <x:v>Толщина каждого слоя</x:v>
      </x:c>
    </x:row>
    <x:row r="50" ht="36" customHeight="1">
      <x:c r="A50" s="23" t="str">
        <x:v>nominal_tread</x:v>
      </x:c>
      <x:c r="B50" s="32" t="n">
        <x:v>0.3</x:v>
      </x:c>
      <x:c r="C50" s="23" t="str">
        <x:v>м</x:v>
      </x:c>
      <x:c r="D50" s="23" t="str">
        <x:v>АС.2 55</x:v>
      </x:c>
      <x:c r="E50" s="23" t="str">
        <x:v>Номинальная проступь; раскладка спорная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cf58e8163dba4d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49" hidden="0" customWidth="1"/>
    <x:col min="4" max="4" width="8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64" hidden="0" customWidth="1"/>
  </x:cols>
  <x:sheetData>
    <x:row r="1" ht="32" customHeight="1">
      <x:c r="A1" s="4" t="str">
        <x:v>Л-1 / РД ↔ ГЕОМЕТРИЧЕСКИЙ КОНТРОЛЬ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10" t="str">
        <x:v>Розовым отмечены отличия. Проектный объём не подгонялся под 3D. Кладка — предварительный расчёт; геометрия маршей — для координации, не для изготовления.</x:v>
      </x:c>
      <x:c r="B2" s="10"/>
      <x:c r="C2" s="10"/>
      <x:c r="D2" s="10"/>
      <x:c r="E2" s="10"/>
      <x:c r="F2" s="10"/>
      <x:c r="G2" s="10"/>
      <x:c r="H2" s="10"/>
      <x:c r="I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5" ht="38" customHeight="1">
      <x:c r="A5" s="17" t="str">
        <x:v>ID</x:v>
      </x:c>
      <x:c r="B5" s="17" t="str">
        <x:v>Код</x:v>
      </x:c>
      <x:c r="C5" s="17" t="str">
        <x:v>Проверяемый элемент</x:v>
      </x:c>
      <x:c r="D5" s="17" t="str">
        <x:v>Ед.</x:v>
      </x:c>
      <x:c r="E5" s="17" t="str">
        <x:v>Контроль 3D / расчёт</x:v>
      </x:c>
      <x:c r="F5" s="17" t="str">
        <x:v>РД / базис сравнения</x:v>
      </x:c>
      <x:c r="G5" s="17" t="str">
        <x:v>Δ</x:v>
      </x:c>
      <x:c r="H5" s="17" t="str">
        <x:v>Лист</x:v>
      </x:c>
      <x:c r="I5" s="17" t="str">
        <x:v>Примечание</x:v>
      </x:c>
    </x:row>
    <x:row r="6" ht="54" customHeight="1">
      <x:c r="A6" s="23" t="str">
        <x:v>G_FP</x:v>
      </x:c>
      <x:c r="B6" s="23" t="str">
        <x:v>P0</x:v>
      </x:c>
      <x:c r="C6" s="23" t="str">
        <x:v>Фп-1: объём по контуру</x:v>
      </x:c>
      <x:c r="D6" s="23" t="str">
        <x:v>м³</x:v>
      </x:c>
      <x:c r="E6" s="34" t="n">
        <x:f>('05_Размеры'!$B$6*'05_Размеры'!$B$7+'05_Размеры'!$B$9*'05_Размеры'!$B$10)*'05_Размеры'!$B$8</x:f>
        <x:v>7.729649999999999</x:v>
      </x:c>
      <x:c r="F6" s="34" t="n">
        <x:f>'03_Спец_РД'!H17</x:f>
        <x:v>12</x:v>
      </x:c>
      <x:c r="G6" s="34" t="n">
        <x:f>IF(F6="","",E6-F6)</x:f>
        <x:v>-4.270350000000001</x:v>
      </x:c>
      <x:c r="H6" s="23" t="str">
        <x:v>47,48</x:v>
      </x:c>
      <x:c r="I6" s="23" t="str">
        <x:v>Не заменяет 12 м³ в РД</x:v>
      </x:c>
    </x:row>
    <x:row r="7" ht="54" customHeight="1">
      <x:c r="A7" s="23" t="str">
        <x:v>G_PREP</x:v>
      </x:c>
      <x:c r="B7" s="23" t="str">
        <x:v>P0</x:v>
      </x:c>
      <x:c r="C7" s="23" t="str">
        <x:v>Подготовка: выпуск 200 мм по периметру</x:v>
      </x:c>
      <x:c r="D7" s="23" t="str">
        <x:v>м³</x:v>
      </x:c>
      <x:c r="E7" s="34" t="n">
        <x:f>('05_Размеры'!$B$6*'05_Размеры'!$B$7+'05_Размеры'!$B$9*'05_Размеры'!$B$10+(2*('05_Размеры'!$B$6+'05_Размеры'!$B$7)+2*'05_Размеры'!$B$9)*'05_Размеры'!$B$12+4*'05_Размеры'!$B$12*'05_Размеры'!$B$12)*'05_Размеры'!$B$11</x:f>
        <x:v>3.0523499999999997</x:v>
      </x:c>
      <x:c r="F7" s="34" t="n">
        <x:f>'03_Спец_РД'!H18</x:f>
        <x:v>4.3</x:v>
      </x:c>
      <x:c r="G7" s="34" t="n">
        <x:f>IF(F7="","",E7-F7)</x:f>
        <x:v>-1.2476500000000001</x:v>
      </x:c>
      <x:c r="H7" s="23" t="str">
        <x:v>47,48</x:v>
      </x:c>
      <x:c r="I7" s="23" t="str">
        <x:v>Выпуск распространён по периметру как допущение; не подтверждённый заказ</x:v>
      </x:c>
    </x:row>
    <x:row r="8" ht="54" customHeight="1">
      <x:c r="A8" s="23" t="str">
        <x:v>G_PP</x:v>
      </x:c>
      <x:c r="B8" s="23" t="str">
        <x:v>RF</x:v>
      </x:c>
      <x:c r="C8" s="23" t="str">
        <x:v>Пп-1: 2850×6990×200 минус отверстие</x:v>
      </x:c>
      <x:c r="D8" s="23" t="str">
        <x:v>м³</x:v>
      </x:c>
      <x:c r="E8" s="34" t="n">
        <x:f>('05_Размеры'!$B$13*'05_Размеры'!$B$14-'05_Размеры'!$B$16*'05_Размеры'!$B$17)*'05_Размеры'!$B$15</x:f>
        <x:v>3.8863000000000008</x:v>
      </x:c>
      <x:c r="F8" s="34" t="n">
        <x:f>'03_Спец_РД'!H138</x:f>
        <x:v>4.7</x:v>
      </x:c>
      <x:c r="G8" s="34" t="n">
        <x:f>IF(F8="","",E8-F8)</x:f>
        <x:v>-0.8136999999999994</x:v>
      </x:c>
      <x:c r="H8" s="23" t="str">
        <x:v>69</x:v>
      </x:c>
      <x:c r="I8" s="23" t="str">
        <x:v>700/750 и отметки требуют согласования</x:v>
      </x:c>
    </x:row>
    <x:row r="9" ht="54" customHeight="1">
      <x:c r="A9" s="23" t="str">
        <x:v>G_LP1</x:v>
      </x:c>
      <x:c r="B9" s="23" t="str">
        <x:v>F1</x:v>
      </x:c>
      <x:c r="C9" s="23" t="str">
        <x:v>ЛП1: прямоугольная огибающая без рёбер</x:v>
      </x:c>
      <x:c r="D9" s="23" t="str">
        <x:v>м³</x:v>
      </x:c>
      <x:c r="E9" s="34" t="n">
        <x:f>('05_Размеры'!$B$33*'05_Размеры'!$B$35+'05_Размеры'!$B$34*'05_Размеры'!$B$36)*'05_Размеры'!$B$42</x:f>
        <x:v>0.47192999999999996</x:v>
      </x:c>
      <x:c r="F9" s="34" t="n">
        <x:f>'03_Спец_РД'!H75</x:f>
        <x:v>0.6</x:v>
      </x:c>
      <x:c r="G9" s="34" t="n">
        <x:f>IF(F9="","",E9-F9)</x:f>
        <x:v>-0.12807000000000002</x:v>
      </x:c>
      <x:c r="H9" s="23" t="str">
        <x:v>60</x:v>
      </x:c>
      <x:c r="I9" s="23" t="str">
        <x:v>Для ВОР берётся РД; модель профилированного сечения упрощена</x:v>
      </x:c>
    </x:row>
    <x:row r="10" ht="54" customHeight="1">
      <x:c r="A10" s="23" t="str">
        <x:v>G_LP2</x:v>
      </x:c>
      <x:c r="B10" s="23" t="str">
        <x:v>F2</x:v>
      </x:c>
      <x:c r="C10" s="23" t="str">
        <x:v>ЛП2: прямоугольная огибающая без рёбер</x:v>
      </x:c>
      <x:c r="D10" s="23" t="str">
        <x:v>м³</x:v>
      </x:c>
      <x:c r="E10" s="34" t="n">
        <x:f>('05_Размеры'!$B$33*'05_Размеры'!$B$37+'05_Размеры'!$B$34*'05_Размеры'!$B$38)*'05_Размеры'!$B$42</x:f>
        <x:v>0.7458224999999999</x:v>
      </x:c>
      <x:c r="F10" s="34" t="n">
        <x:f>'03_Спец_РД'!H83</x:f>
        <x:v>0.9</x:v>
      </x:c>
      <x:c r="G10" s="34" t="n">
        <x:f>IF(F10="","",E10-F10)</x:f>
        <x:v>-0.15417750000000008</x:v>
      </x:c>
      <x:c r="H10" s="23" t="str">
        <x:v>61</x:v>
      </x:c>
      <x:c r="I10" s="23" t="str">
        <x:v>Для ВОР берётся РД; модель профилированного сечения упрощена</x:v>
      </x:c>
    </x:row>
    <x:row r="11" ht="54" customHeight="1">
      <x:c r="A11" s="23" t="str">
        <x:v>G_LP3</x:v>
      </x:c>
      <x:c r="B11" s="23" t="str">
        <x:v>F3</x:v>
      </x:c>
      <x:c r="C11" s="23" t="str">
        <x:v>ЛП3: прямоугольная огибающая без рёбер</x:v>
      </x:c>
      <x:c r="D11" s="23" t="str">
        <x:v>м³</x:v>
      </x:c>
      <x:c r="E11" s="34" t="n">
        <x:f>('05_Размеры'!$B$33*'05_Размеры'!$B$39+'05_Размеры'!$B$34*'05_Размеры'!$B$40)*'05_Размеры'!$B$42</x:f>
        <x:v>0.5204924999999999</x:v>
      </x:c>
      <x:c r="F11" s="34" t="n">
        <x:f>'03_Спец_РД'!H91</x:f>
        <x:v>0.7</x:v>
      </x:c>
      <x:c r="G11" s="34" t="n">
        <x:f>IF(F11="","",E11-F11)</x:f>
        <x:v>-0.17950750000000004</x:v>
      </x:c>
      <x:c r="H11" s="23" t="str">
        <x:v>62</x:v>
      </x:c>
      <x:c r="I11" s="23" t="str">
        <x:v>Для ВОР берётся РД; модель профилированного сечения упрощена</x:v>
      </x:c>
    </x:row>
    <x:row r="12" ht="54" customHeight="1">
      <x:c r="A12" s="23" t="str">
        <x:v>G_LP4</x:v>
      </x:c>
      <x:c r="B12" s="23" t="str">
        <x:v>F3</x:v>
      </x:c>
      <x:c r="C12" s="23" t="str">
        <x:v>ЛП4: прямоугольная огибающая</x:v>
      </x:c>
      <x:c r="D12" s="23" t="str">
        <x:v>м³</x:v>
      </x:c>
      <x:c r="E12" s="34" t="n">
        <x:f>'05_Размеры'!$B$32*'05_Размеры'!$B$41*'05_Размеры'!$B$42</x:f>
        <x:v>0.6313125</x:v>
      </x:c>
      <x:c r="F12" s="34" t="n">
        <x:f>'03_Спец_РД'!H96</x:f>
        <x:v>0.8</x:v>
      </x:c>
      <x:c r="G12" s="34" t="n">
        <x:f>IF(F12="","",E12-F12)</x:f>
        <x:v>-0.1686875</x:v>
      </x:c>
      <x:c r="H12" s="23" t="str">
        <x:v>63</x:v>
      </x:c>
      <x:c r="I12" s="23" t="str">
        <x:v>Не заменяет расход по профлисту</x:v>
      </x:c>
    </x:row>
    <x:row r="13" ht="54" customHeight="1">
      <x:c r="A13" s="23" t="str">
        <x:v>G_MU2</x:v>
      </x:c>
      <x:c r="B13" s="23" t="str">
        <x:v>F1</x:v>
      </x:c>
      <x:c r="C13" s="23" t="str">
        <x:v>МУ2: объём по габариту</x:v>
      </x:c>
      <x:c r="D13" s="23" t="str">
        <x:v>м³</x:v>
      </x:c>
      <x:c r="E13" s="34" t="n">
        <x:f>'05_Размеры'!$B$43*'05_Размеры'!$B$44*'05_Размеры'!$B$47</x:f>
        <x:v>0.952578</x:v>
      </x:c>
      <x:c r="F13" s="34" t="n">
        <x:f>'03_Спец_РД'!H127</x:f>
        <x:v>0.95</x:v>
      </x:c>
      <x:c r="G13" s="34" t="n">
        <x:f>IF(F13="","",E13-F13)</x:f>
        <x:v>0.0025780000000000802</x:v>
      </x:c>
      <x:c r="H13" s="23" t="str">
        <x:v>67</x:v>
      </x:c>
      <x:c r="I13" s="23" t="str">
        <x:v>МУ только Л-1; округление в спецификации сохранено</x:v>
      </x:c>
    </x:row>
    <x:row r="14" ht="54" customHeight="1">
      <x:c r="A14" s="23" t="str">
        <x:v>G_MU3</x:v>
      </x:c>
      <x:c r="B14" s="23" t="str">
        <x:v>F2</x:v>
      </x:c>
      <x:c r="C14" s="23" t="str">
        <x:v>МУ3: объём по габариту</x:v>
      </x:c>
      <x:c r="D14" s="23" t="str">
        <x:v>м³</x:v>
      </x:c>
      <x:c r="E14" s="34" t="n">
        <x:f>'05_Размеры'!$B$45*'05_Размеры'!$B$46*'05_Размеры'!$B$47</x:f>
        <x:v>0.940126</x:v>
      </x:c>
      <x:c r="F14" s="34" t="n">
        <x:f>'03_Спец_РД'!H132</x:f>
        <x:v>0.94</x:v>
      </x:c>
      <x:c r="G14" s="34" t="n">
        <x:f>IF(F14="","",E14-F14)</x:f>
        <x:v>0.0001260000000000705</x:v>
      </x:c>
      <x:c r="H14" s="23" t="str">
        <x:v>68</x:v>
      </x:c>
      <x:c r="I14" s="23" t="str">
        <x:v>МУ только Л-1; округление в спецификации сохранено</x:v>
      </x:c>
    </x:row>
    <x:row r="15" ht="54" customHeight="1">
      <x:c r="A15" s="23" t="str">
        <x:v>G_BR_F1</x:v>
      </x:c>
      <x:c r="B15" s="23" t="str">
        <x:v>F1</x:v>
      </x:c>
      <x:c r="C15" s="23" t="str">
        <x:v>Кирпичная кладка; предварительный объём</x:v>
      </x:c>
      <x:c r="D15" s="23" t="str">
        <x:v>м³</x:v>
      </x:c>
      <x:c r="E15" s="34" t="n">
        <x:f>2*'05_Размеры'!$B$19*'05_Размеры'!$B$20*'05_Размеры'!$B$23+('05_Размеры'!$B$21*'05_Размеры'!$B$23-'05_Размеры'!$B$27*'05_Размеры'!$B$28)*'05_Размеры'!$B$20</x:f>
        <x:v>14.29925</x:v>
      </x:c>
      <x:c r="F15" s="34"/>
      <x:c r="G15" s="34" t="str">
        <x:f>IF(F15="","",E15-F15)</x:f>
      </x:c>
      <x:c r="H15" s="23" t="str">
        <x:v>49,55,69</x:v>
      </x:c>
      <x:c r="I15" s="23" t="str">
        <x:v>Габаритный контроль: с вычетом дверей, без гнёзд ОП и вычетов неувязанных ПР; для снабжения уточнить.</x:v>
      </x:c>
    </x:row>
    <x:row r="16" ht="54" customHeight="1">
      <x:c r="A16" s="23" t="str">
        <x:v>G_BR_F2</x:v>
      </x:c>
      <x:c r="B16" s="23" t="str">
        <x:v>F2</x:v>
      </x:c>
      <x:c r="C16" s="23" t="str">
        <x:v>Кирпичная кладка; предварительный объём</x:v>
      </x:c>
      <x:c r="D16" s="23" t="str">
        <x:v>м³</x:v>
      </x:c>
      <x:c r="E16" s="34" t="n">
        <x:f>2*'05_Размеры'!$B$19*'05_Размеры'!$B$20*'05_Размеры'!$B$24+('05_Размеры'!$B$21*'05_Размеры'!$B$24-'05_Размеры'!$B$27*'05_Размеры'!$B$28)*'05_Размеры'!$B$20</x:f>
        <x:v>13.8915</x:v>
      </x:c>
      <x:c r="F16" s="34"/>
      <x:c r="G16" s="34" t="str">
        <x:f>IF(F16="","",E16-F16)</x:f>
      </x:c>
      <x:c r="H16" s="23" t="str">
        <x:v>49,55,69</x:v>
      </x:c>
      <x:c r="I16" s="23" t="str">
        <x:v>Габаритный контроль: с вычетом дверей, без гнёзд ОП и вычетов неувязанных ПР; для снабжения уточнить.</x:v>
      </x:c>
    </x:row>
    <x:row r="17" ht="54" customHeight="1">
      <x:c r="A17" s="23" t="str">
        <x:v>G_BR_F3</x:v>
      </x:c>
      <x:c r="B17" s="23" t="str">
        <x:v>F3</x:v>
      </x:c>
      <x:c r="C17" s="23" t="str">
        <x:v>Кирпичная кладка; предварительный объём</x:v>
      </x:c>
      <x:c r="D17" s="23" t="str">
        <x:v>м³</x:v>
      </x:c>
      <x:c r="E17" s="34" t="n">
        <x:f>2*'05_Размеры'!$B$19*'05_Размеры'!$B$20*'05_Размеры'!$B$25+('05_Размеры'!$B$21*'05_Размеры'!$B$25-'05_Размеры'!$B$27*'05_Размеры'!$B$28)*'05_Размеры'!$B$20+'05_Размеры'!$B$21*'05_Размеры'!$B$20*'05_Размеры'!$B$30</x:f>
        <x:v>16.87875</x:v>
      </x:c>
      <x:c r="F17" s="34"/>
      <x:c r="G17" s="34" t="str">
        <x:f>IF(F17="","",E17-F17)</x:f>
      </x:c>
      <x:c r="H17" s="23" t="str">
        <x:v>49,55,69</x:v>
      </x:c>
      <x:c r="I17" s="23" t="str">
        <x:v>Габаритный контроль: с вычетом дверей, без гнёзд ОП и вычетов неувязанных ПР; для снабжения уточнить.</x:v>
      </x:c>
    </x:row>
    <x:row r="18" ht="54" customHeight="1">
      <x:c r="A18" s="23" t="str">
        <x:v>G_BR_RF</x:v>
      </x:c>
      <x:c r="B18" s="23" t="str">
        <x:v>RF</x:v>
      </x:c>
      <x:c r="C18" s="23" t="str">
        <x:v>Кирпичная кладка; предварительный объём с парапетом</x:v>
      </x:c>
      <x:c r="D18" s="23" t="str">
        <x:v>м³</x:v>
      </x:c>
      <x:c r="E18" s="34" t="n">
        <x:f>2*'05_Размеры'!$B$19*'05_Размеры'!$B$20*'05_Размеры'!$B$26+('05_Размеры'!$B$21*'05_Размеры'!$B$26-'05_Размеры'!$B$29*'05_Размеры'!$B$28)*'05_Размеры'!$B$20+'05_Размеры'!$B$21*'05_Размеры'!$B$20*'05_Размеры'!$B$26+('05_Размеры'!$B$21*'05_Размеры'!$B$22-'05_Размеры'!$B$18*'05_Размеры'!$B$19)*'05_Размеры'!$B$31</x:f>
        <x:v>13.636999999999999</x:v>
      </x:c>
      <x:c r="F18" s="34"/>
      <x:c r="G18" s="34" t="str">
        <x:f>IF(F18="","",E18-F18)</x:f>
      </x:c>
      <x:c r="H18" s="23" t="str">
        <x:v>49,55,69</x:v>
      </x:c>
      <x:c r="I18" s="23" t="str">
        <x:v>Габаритный контроль: с вычетом дверей, без гнёзд ОП и вычетов неувязанных ПР; для снабжения уточнить.</x:v>
      </x:c>
    </x:row>
    <x:row r="19" ht="84" customHeight="1">
      <x:c r="A19" s="23" t="str">
        <x:v>M1</x:v>
      </x:c>
      <x:c r="B19" s="23" t="str">
        <x:v>F1</x:v>
      </x:c>
      <x:c r="C19" s="23" t="str">
        <x:v>КС1 / 0.000→1.800: длина номинального марша против пролёта</x:v>
      </x:c>
      <x:c r="D19" s="23" t="str">
        <x:v>м</x:v>
      </x:c>
      <x:c r="E19" s="34" t="n">
        <x:v>3.3</x:v>
      </x:c>
      <x:c r="F19" s="34" t="n">
        <x:v>3.3</x:v>
      </x:c>
      <x:c r="G19" s="34" t="n">
        <x:f>IF(F19="","",E19-F19)</x:f>
        <x:v>0</x:v>
      </x:c>
      <x:c r="H19" s="23" t="str">
        <x:v>55,58,60–68</x:v>
      </x:c>
      <x:c r="I19" s="23" t="str">
        <x:v>E — номинальный марш с проступью 300 мм (экспорт 3D). F — расстояние между кромками координационно поставленных площадок, не число из таблицы РД. Δ&lt;0 — недоход; Δ&gt;0 — заход. Требуется увязка.</x:v>
      </x:c>
    </x:row>
    <x:row r="20" ht="84" customHeight="1">
      <x:c r="A20" s="23" t="str">
        <x:v>M2</x:v>
      </x:c>
      <x:c r="B20" s="23" t="str">
        <x:v>F1</x:v>
      </x:c>
      <x:c r="C20" s="23" t="str">
        <x:v>КС2 / 1.800→3.600: длина номинального марша против пролёта</x:v>
      </x:c>
      <x:c r="D20" s="23" t="str">
        <x:v>м</x:v>
      </x:c>
      <x:c r="E20" s="34" t="n">
        <x:v>3.3</x:v>
      </x:c>
      <x:c r="F20" s="34" t="n">
        <x:v>3.655</x:v>
      </x:c>
      <x:c r="G20" s="34" t="n">
        <x:f>IF(F20="","",E20-F20)</x:f>
        <x:v>-0.355</x:v>
      </x:c>
      <x:c r="H20" s="23" t="str">
        <x:v>55,58,60–68</x:v>
      </x:c>
      <x:c r="I20" s="23" t="str">
        <x:v>E — номинальный марш с проступью 300 мм (экспорт 3D). F — расстояние между кромками координационно поставленных площадок, не число из таблицы РД. Δ&lt;0 — недоход; Δ&gt;0 — заход. Требуется увязка.</x:v>
      </x:c>
    </x:row>
    <x:row r="21" ht="84" customHeight="1">
      <x:c r="A21" s="23" t="str">
        <x:v>M3</x:v>
      </x:c>
      <x:c r="B21" s="23" t="str">
        <x:v>F2</x:v>
      </x:c>
      <x:c r="C21" s="23" t="str">
        <x:v>КС2 / 3.600→5.400: длина номинального марша против пролёта</x:v>
      </x:c>
      <x:c r="D21" s="23" t="str">
        <x:v>м</x:v>
      </x:c>
      <x:c r="E21" s="34" t="n">
        <x:v>3.3</x:v>
      </x:c>
      <x:c r="F21" s="34" t="n">
        <x:v>2.775</x:v>
      </x:c>
      <x:c r="G21" s="34" t="n">
        <x:f>IF(F21="","",E21-F21)</x:f>
        <x:v>0.5249999999999999</x:v>
      </x:c>
      <x:c r="H21" s="23" t="str">
        <x:v>55,58,60–68</x:v>
      </x:c>
      <x:c r="I21" s="23" t="str">
        <x:v>E — номинальный марш с проступью 300 мм (экспорт 3D). F — расстояние между кромками координационно поставленных площадок, не число из таблицы РД. Δ&lt;0 — недоход; Δ&gt;0 — заход. Требуется увязка.</x:v>
      </x:c>
    </x:row>
    <x:row r="22" ht="84" customHeight="1">
      <x:c r="A22" s="23" t="str">
        <x:v>M4</x:v>
      </x:c>
      <x:c r="B22" s="23" t="str">
        <x:v>F2</x:v>
      </x:c>
      <x:c r="C22" s="23" t="str">
        <x:v>КС2 / 5.400→7.200: длина номинального марша против пролёта</x:v>
      </x:c>
      <x:c r="D22" s="23" t="str">
        <x:v>м</x:v>
      </x:c>
      <x:c r="E22" s="34" t="n">
        <x:v>3.3</x:v>
      </x:c>
      <x:c r="F22" s="34" t="n">
        <x:v>2.97</x:v>
      </x:c>
      <x:c r="G22" s="34" t="n">
        <x:f>IF(F22="","",E22-F22)</x:f>
        <x:v>0.3299999999999996</x:v>
      </x:c>
      <x:c r="H22" s="23" t="str">
        <x:v>55,58,60–68</x:v>
      </x:c>
      <x:c r="I22" s="23" t="str">
        <x:v>E — номинальный марш с проступью 300 мм (экспорт 3D). F — расстояние между кромками координационно поставленных площадок, не число из таблицы РД. Δ&lt;0 — недоход; Δ&gt;0 — заход. Требуется увязка.</x:v>
      </x:c>
    </x:row>
    <x:row r="23" ht="84" customHeight="1">
      <x:c r="A23" s="23" t="str">
        <x:v>M5</x:v>
      </x:c>
      <x:c r="B23" s="23" t="str">
        <x:v>F3</x:v>
      </x:c>
      <x:c r="C23" s="23" t="str">
        <x:v>КС3 / 7.200→9.300: длина номинального марша против пролёта</x:v>
      </x:c>
      <x:c r="D23" s="23" t="str">
        <x:v>м</x:v>
      </x:c>
      <x:c r="E23" s="34" t="n">
        <x:v>3.9</x:v>
      </x:c>
      <x:c r="F23" s="34" t="n">
        <x:v>3.375</x:v>
      </x:c>
      <x:c r="G23" s="34" t="n">
        <x:f>IF(F23="","",E23-F23)</x:f>
        <x:v>0.5249999999999999</x:v>
      </x:c>
      <x:c r="H23" s="23" t="str">
        <x:v>55,58,60–68</x:v>
      </x:c>
      <x:c r="I23" s="23" t="str">
        <x:v>E — номинальный марш с проступью 300 мм (экспорт 3D). F — расстояние между кромками координационно поставленных площадок, не число из таблицы РД. Δ&lt;0 — недоход; Δ&gt;0 — заход. Требуется увязка.</x:v>
      </x:c>
    </x:row>
    <x:row r="24" ht="84" customHeight="1">
      <x:c r="A24" s="23" t="str">
        <x:v>M6</x:v>
      </x:c>
      <x:c r="B24" s="23" t="str">
        <x:v>F3</x:v>
      </x:c>
      <x:c r="C24" s="23" t="str">
        <x:v>КС4 / 9.300→11.400: длина номинального марша против пролёта</x:v>
      </x:c>
      <x:c r="D24" s="23" t="str">
        <x:v>м</x:v>
      </x:c>
      <x:c r="E24" s="34" t="n">
        <x:v>3.9</x:v>
      </x:c>
      <x:c r="F24" s="34" t="n">
        <x:v>3.69</x:v>
      </x:c>
      <x:c r="G24" s="34" t="n">
        <x:f>IF(F24="","",E24-F24)</x:f>
        <x:v>0.20999999999999996</x:v>
      </x:c>
      <x:c r="H24" s="23" t="str">
        <x:v>55,58,60–68</x:v>
      </x:c>
      <x:c r="I24" s="23" t="str">
        <x:v>E — номинальный марш с проступью 300 мм (экспорт 3D). F — расстояние между кромками координационно поставленных площадок, не число из таблицы РД. Δ&lt;0 — недоход; Δ&gt;0 — заход. Требуется увязка.</x:v>
      </x:c>
    </x:row>
  </x:sheetData>
  <x:mergeCells>
    <x:mergeCell ref="A1:I1"/>
    <x:mergeCell ref="A2:I3"/>
  </x:mergeCells>
  <x:conditionalFormatting sqref="A6:I24">
    <x:cfRule type="expression" dxfId="1" priority="1">
      <x:formula>AND(ISNUMBER($G6),ABS($G6)&gt;0.01)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ba3032c9af42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8" hidden="0" customWidth="1"/>
    <x:col min="4" max="4" width="35" hidden="0" customWidth="1"/>
    <x:col min="5" max="5" width="88" hidden="0" customWidth="1"/>
    <x:col min="6" max="6" width="23" hidden="0" customWidth="1"/>
  </x:cols>
  <x:sheetData>
    <x:row r="1" ht="32" customHeight="1">
      <x:c r="A1" s="4" t="str">
        <x:v>Л-1 / РЕЕСТР ВОПРОСОВ ПРОЕКТИРОВЩИКУ</x:v>
      </x:c>
      <x:c r="B1" s="4"/>
      <x:c r="C1" s="4"/>
      <x:c r="D1" s="4"/>
      <x:c r="E1" s="4"/>
      <x:c r="F1" s="4"/>
    </x:row>
    <x:row r="2" ht="23" customHeight="1">
      <x:c r="A2" s="10" t="str">
        <x:v>Ни один спорный размер или расход не считается согласованным. Цвет в Excel и свойства в 3D показывают ограничения одной редакции R03.</x:v>
      </x:c>
      <x:c r="B2" s="10"/>
      <x:c r="C2" s="10"/>
      <x:c r="D2" s="10"/>
      <x:c r="E2" s="10"/>
      <x:c r="F2" s="10"/>
    </x:row>
    <x:row r="3" ht="23" customHeight="1">
      <x:c r="A3" s="10"/>
      <x:c r="B3" s="10"/>
      <x:c r="C3" s="10"/>
      <x:c r="D3" s="10"/>
      <x:c r="E3" s="10"/>
      <x:c r="F3" s="10"/>
    </x:row>
    <x:row r="5" ht="38" customHeight="1">
      <x:c r="A5" s="17" t="str">
        <x:v>Код</x:v>
      </x:c>
      <x:c r="B5" s="17" t="str">
        <x:v>Конструкция</x:v>
      </x:c>
      <x:c r="C5" s="17" t="str">
        <x:v>Листы</x:v>
      </x:c>
      <x:c r="D5" s="17" t="str">
        <x:v>Проблема</x:v>
      </x:c>
      <x:c r="E5" s="17" t="str">
        <x:v>Что обнаружено / что требуется</x:v>
      </x:c>
      <x:c r="F5" s="17" t="str">
        <x:v>Статус</x:v>
      </x:c>
    </x:row>
    <x:row r="6" ht="100" customHeight="1">
      <x:c r="A6" s="23" t="str">
        <x:v>RFI-L01</x:v>
      </x:c>
      <x:c r="B6" s="23" t="str">
        <x:v>Фундамент Фп-1</x:v>
      </x:c>
      <x:c r="C6" s="23" t="str">
        <x:v>47,48,54</x:v>
      </x:c>
      <x:c r="D6" s="23" t="str">
        <x:v>Несогласованная спецификация и контур</x:v>
      </x:c>
      <x:c r="E6" s="23" t="str">
        <x:v>Табличные количества, единичные массы и итоги арматуры расходятся. Контур 3,1×7,1 м с выступом 1,295×2,9 м, h=0,3 даёт 7,72965 м³, тогда как спецификация — 12 м³; подготовка — 4,3 м³. Принять в учёт РД без подгонки модели, получить исправленный лист.</x:v>
      </x:c>
      <x:c r="F6" s="23" t="str">
        <x:v>Не согласовано</x:v>
      </x:c>
    </x:row>
    <x:row r="7" ht="100" customHeight="1">
      <x:c r="A7" s="23" t="str">
        <x:v>RFI-L02</x:v>
      </x:c>
      <x:c r="B7" s="23" t="str">
        <x:v>Плита покрытия Пп-1</x:v>
      </x:c>
      <x:c r="C7" s="23" t="str">
        <x:v>69</x:v>
      </x:c>
      <x:c r="D7" s="23" t="str">
        <x:v>Отметки, толщина, отверстие и расход</x:v>
      </x:c>
      <x:c r="E7" s="23" t="str">
        <x:v>Заголовок +13,550; в сечении +13,750 / +13,350 при h=200. В R03 для координации сохранён верх +13,750, низ +13,550. Отверстие подписано 700×700, цепочки — 750. Бетон РД 4,7 м³, геометрия 3,8863 м³. Раскладка стержней не совпадает с табличным количеством.</x:v>
      </x:c>
      <x:c r="F7" s="23" t="str">
        <x:v>Не согласовано</x:v>
      </x:c>
    </x:row>
    <x:row r="8" ht="100" customHeight="1">
      <x:c r="A8" s="23" t="str">
        <x:v>RFI-L03</x:v>
      </x:c>
      <x:c r="B8" s="23" t="str">
        <x:v>МУ1 и бетон площадок</x:v>
      </x:c>
      <x:c r="C8" s="23" t="str">
        <x:v>55,56,60–66</x:v>
      </x:c>
      <x:c r="D8" s="23" t="str">
        <x:v>Общие таблицы не складываются с деталями</x:v>
      </x:c>
      <x:c r="E8" s="23" t="str">
        <x:v>МУ1 на двух уровнях +3,500 и +7,100, но в л.56 — 1 шт. Приняты два экземпляра. Строка бетона 2,6 м³ в л.56 не прибавлена к подробным площадкам 3,0 м³; это контрольная общая строка, не отдельная конструкция.</x:v>
      </x:c>
      <x:c r="F8" s="23" t="str">
        <x:v>Не согласовано</x:v>
      </x:c>
    </x:row>
    <x:row r="9" ht="100" customHeight="1">
      <x:c r="A9" s="23" t="str">
        <x:v>RFI-L04</x:v>
      </x:c>
      <x:c r="B9" s="23" t="str">
        <x:v>Привязки маршей и стен</x:v>
      </x:c>
      <x:c r="C9" s="23" t="str">
        <x:v>49,55,58,60–69</x:v>
      </x:c>
      <x:c r="D9" s="23" t="str">
        <x:v>Планы, разрезы и детали имеют разные цепочки</x:v>
      </x:c>
      <x:c r="E9" s="23" t="str">
        <x:v>Ядро 2590 мм и оси сохранены. Продольные цепочки 6610/6880/6195 мм, площадки ЛП1–ЛП3 и одинаковые КС2 не дают единой раскладки с проступью 300 мм. Сохранены номинальные проступи 300 мм и 70 ступеней по л.56; конец марша не подгонялся к кромке площадки. Недоход/заход показан отдельными контрольными объёмами, которые не являются материалом. Монтажную раскладку согласовать; для изготовления модель не применять.</x:v>
      </x:c>
      <x:c r="F9" s="23" t="str">
        <x:v>Не согласовано</x:v>
      </x:c>
    </x:row>
    <x:row r="10" ht="100" customHeight="1">
      <x:c r="A10" s="23" t="str">
        <x:v>RFI-L05</x:v>
      </x:c>
      <x:c r="B10" s="23" t="str">
        <x:v>КС1 и масса пластины</x:v>
      </x:c>
      <x:c r="C10" s="23" t="str">
        <x:v>56,58,59</x:v>
      </x:c>
      <x:c r="D10" s="23" t="str">
        <x:v>Длина / масса заготовки</x:v>
      </x:c>
      <x:c r="E10" s="23" t="str">
        <x:v>Для КС1 на деталях встречаются 3228/3778, в таблице L=3230; при подъёме до +1,800 требуется увязка. Масса пластины 10×200×580 указана 45,53 кг. Она сохранена в спецификации, не исправлена расчётной плотностью; суммарная масса КС1 получается 114,77, а в общей таблице 114,53 кг.</x:v>
      </x:c>
      <x:c r="F10" s="23" t="str">
        <x:v>Не согласовано</x:v>
      </x:c>
    </x:row>
    <x:row r="11" ht="100" customHeight="1">
      <x:c r="A11" s="23" t="str">
        <x:v>RFI-L06</x:v>
      </x:c>
      <x:c r="B11" s="23" t="str">
        <x:v>Арматура и крепёж</x:v>
      </x:c>
      <x:c r="C11" s="23" t="str">
        <x:v>50–56,67,68</x:v>
      </x:c>
      <x:c r="D11" s="23" t="str">
        <x:v>Классы / марки / единичные массы</x:v>
      </x:c>
      <x:c r="E11" s="23" t="str">
        <x:v>Стены: F75 в деталях вместо F150 общих данных. МУ2/МУ3: ∅10 А240 L910 с массой 0,36 кг; МУ3 L1665 с той же массой 2,66, что L1685. Л.55 — болты M15, л.56 — M16. РД не исправлена; заказ требует согласования.</x:v>
      </x:c>
      <x:c r="F11" s="23" t="str">
        <x:v>Не согласовано</x:v>
      </x:c>
    </x:row>
    <x:row r="12" ht="100" customHeight="1">
      <x:c r="A12" s="23" t="str">
        <x:v>RFI-L07</x:v>
      </x:c>
      <x:c r="B12" s="23" t="str">
        <x:v>ВШ28 и отверстие Пп-1</x:v>
      </x:c>
      <x:c r="C12" s="23" t="str">
        <x:v>69,98,114</x:v>
      </x:c>
      <x:c r="D12" s="23" t="str">
        <x:v>Несоосность с базовой R02</x:v>
      </x:c>
      <x:c r="E12" s="23" t="str">
        <x:v>Шахта R02 сохранена: центр (44,12;1,20), основание +13,750. Центр отверстия по цепочке л.69 (44,11;0,94); смещение по Y 260 мм. Шахта не перемещалась. Уточнить отверстие 700/750 мм и узел прохода.</x:v>
      </x:c>
      <x:c r="F12" s="23" t="str">
        <x:v>Не согласовано</x:v>
      </x:c>
    </x:row>
    <x:row r="13" ht="100" customHeight="1">
      <x:c r="A13" s="23" t="str">
        <x:v>RFI-L08</x:v>
      </x:c>
      <x:c r="B13" s="23" t="str">
        <x:v>Сопутствующие работы</x:v>
      </x:c>
      <x:c r="C13" s="23" t="str">
        <x:v>47–70</x:v>
      </x:c>
      <x:c r="D13" s="23" t="str">
        <x:v>Нет самостоятельных объёмов / деталировки</x:v>
      </x:c>
      <x:c r="E13" s="23" t="str">
        <x:v>Нет достаточных данных для объёмов земляных работ, возврата грунта, кирпичных опор на старых фундаментах, ограждений, временного крепления, окраски развёрнутой поверхности металла и крепежа огнезащиты. Эти работы внесены в ВОР как требующие уточнения, без вымышленных нулевых объёмов.</x:v>
      </x:c>
      <x:c r="F13" s="23" t="str">
        <x:v>Не согласовано</x:v>
      </x:c>
    </x:row>
    <x:row r="14" ht="100" customHeight="1">
      <x:c r="A14" s="23" t="str">
        <x:v>RFI-L09</x:v>
      </x:c>
      <x:c r="B14" s="23" t="str">
        <x:v>Перемычки ПР2 / ПР3</x:v>
      </x:c>
      <x:c r="C14" s="23" t="str">
        <x:v>55,56</x:v>
      </x:c>
      <x:c r="D14" s="23" t="str">
        <x:v>Габарит изделия не равен дверному проёму</x:v>
      </x:c>
      <x:c r="E14" s="23" t="str">
        <x:v>ПР2 и ПР3 включены в спецификацию. В 3D показаны зоны установки с исходной маркой, а не точная заводская геометрия. Уточнить узел кровельного выхода, опирание и состав изделия.</x:v>
      </x:c>
      <x:c r="F14" s="23" t="str">
        <x:v>Не согласовано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d5ec2bfe46ae485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47" hidden="0" customWidth="1"/>
    <x:col min="4" max="4" width="7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  <x:col min="9" max="9" width="60" hidden="0" customWidth="1"/>
    <x:col min="10" max="10" width="32" hidden="0" customWidth="1"/>
  </x:cols>
  <x:sheetData>
    <x:row r="1" ht="32" customHeight="1">
      <x:c r="A1" s="4" t="str">
        <x:v>Л-1 / СПЕЦИФИКАЦИЯ — ПОДЗЕМНАЯ ЧАСТЬ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10" t="str">
        <x:v>Основные материалы без запаса и стоимости. Арматурные каркасы раскрыты на стержни; массы взяты из РД и проверены арифметически. Жёлтые строки — предварительные или требующие согласования.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8" customHeight="1">
      <x:c r="A5" s="17" t="str">
        <x:v>№</x:v>
      </x:c>
      <x:c r="B5" s="17" t="str">
        <x:v>Конструкция / позиция</x:v>
      </x:c>
      <x:c r="C5" s="17" t="str">
        <x:v>Материал / изделие</x:v>
      </x:c>
      <x:c r="D5" s="17" t="str">
        <x:v>Ед.</x:v>
      </x:c>
      <x:c r="E5" s="17" t="str">
        <x:v>Количество</x:v>
      </x:c>
      <x:c r="F5" s="17" t="str">
        <x:v>Масса ед., кг</x:v>
      </x:c>
      <x:c r="G5" s="17" t="str">
        <x:v>Масса всего, кг</x:v>
      </x:c>
      <x:c r="H5" s="17" t="str">
        <x:v>Источник</x:v>
      </x:c>
      <x:c r="I5" s="17" t="str">
        <x:v>Основание / статус</x:v>
      </x:c>
      <x:c r="J5" s="17" t="str">
        <x:v>Связь / ID</x:v>
      </x:c>
    </x:row>
    <x:row r="6" ht="58" customHeight="1">
      <x:c r="A6" s="23" t="n">
        <x:v>1</x:v>
      </x:c>
      <x:c r="B6" s="23" t="str">
        <x:v>Фп-1 / 1</x:v>
      </x:c>
      <x:c r="C6" s="23" t="str">
        <x:v>∅16 А500С; L=3060 мм; ГОСТ 34028-2016</x:v>
      </x:c>
      <x:c r="D6" s="23" t="str">
        <x:v>шт</x:v>
      </x:c>
      <x:c r="E6" s="26" t="n">
        <x:f>'04_Ресурсы'!J6</x:f>
        <x:v>22</x:v>
      </x:c>
      <x:c r="F6" s="26" t="n">
        <x:f>IF('04_Ресурсы'!K6="","",'04_Ресурсы'!K6)</x:f>
        <x:v>4.83</x:v>
      </x:c>
      <x:c r="G6" s="26" t="n">
        <x:f>IF('04_Ресурсы'!L6="","",'04_Ресурсы'!L6)</x:f>
        <x:v>106.26</x:v>
      </x:c>
      <x:c r="H6" s="23" t="str">
        <x:v>АС.2 л.48; PDF 58</x:v>
      </x:c>
      <x:c r="I6" s="23" t="str">
        <x:v>Расхождения количества/итога/раскладки — RFI-L01. Исходные числа не исправлены.</x:v>
      </x:c>
      <x:c r="J6" s="23" t="str">
        <x:v>L1_Фп-1/1</x:v>
      </x:c>
    </x:row>
    <x:row r="7" ht="58" customHeight="1">
      <x:c r="A7" s="23" t="n">
        <x:v>2</x:v>
      </x:c>
      <x:c r="B7" s="23" t="str">
        <x:v>Фп-1 / 2</x:v>
      </x:c>
      <x:c r="C7" s="23" t="str">
        <x:v>∅12 А500С; L=7060 мм; ГОСТ 34028-2016</x:v>
      </x:c>
      <x:c r="D7" s="23" t="str">
        <x:v>шт</x:v>
      </x:c>
      <x:c r="E7" s="26" t="n">
        <x:f>'04_Ресурсы'!J7</x:f>
        <x:v>16</x:v>
      </x:c>
      <x:c r="F7" s="26" t="n">
        <x:f>IF('04_Ресурсы'!K7="","",'04_Ресурсы'!K7)</x:f>
        <x:v>6.27</x:v>
      </x:c>
      <x:c r="G7" s="26" t="n">
        <x:f>IF('04_Ресурсы'!L7="","",'04_Ресурсы'!L7)</x:f>
        <x:v>100.32</x:v>
      </x:c>
      <x:c r="H7" s="23" t="str">
        <x:v>АС.2 л.48; PDF 58</x:v>
      </x:c>
      <x:c r="I7" s="23" t="str">
        <x:v>Расхождения количества/итога/раскладки — RFI-L01. Исходные числа не исправлены.</x:v>
      </x:c>
      <x:c r="J7" s="23" t="str">
        <x:v>L1_Фп-1/2</x:v>
      </x:c>
    </x:row>
    <x:row r="8" ht="58" customHeight="1">
      <x:c r="A8" s="23" t="n">
        <x:v>3</x:v>
      </x:c>
      <x:c r="B8" s="23" t="str">
        <x:v>Фп-1 / 3</x:v>
      </x:c>
      <x:c r="C8" s="23" t="str">
        <x:v>∅12 А500С; L=2860 мм; ГОСТ 34028-2016</x:v>
      </x:c>
      <x:c r="D8" s="23" t="str">
        <x:v>шт</x:v>
      </x:c>
      <x:c r="E8" s="26" t="n">
        <x:f>'04_Ресурсы'!J8</x:f>
        <x:v>20</x:v>
      </x:c>
      <x:c r="F8" s="26" t="n">
        <x:f>IF('04_Ресурсы'!K8="","",'04_Ресурсы'!K8)</x:f>
        <x:v>2.54</x:v>
      </x:c>
      <x:c r="G8" s="26" t="n">
        <x:f>IF('04_Ресурсы'!L8="","",'04_Ресурсы'!L8)</x:f>
        <x:v>50.8</x:v>
      </x:c>
      <x:c r="H8" s="23" t="str">
        <x:v>АС.2 л.48; PDF 58</x:v>
      </x:c>
      <x:c r="I8" s="23" t="str">
        <x:v>Расхождения количества/итога/раскладки — RFI-L01. Исходные числа не исправлены.</x:v>
      </x:c>
      <x:c r="J8" s="23" t="str">
        <x:v>L1_Фп-1/3</x:v>
      </x:c>
    </x:row>
    <x:row r="9" ht="58" customHeight="1">
      <x:c r="A9" s="23" t="n">
        <x:v>4</x:v>
      </x:c>
      <x:c r="B9" s="23" t="str">
        <x:v>Фп-1 / 4</x:v>
      </x:c>
      <x:c r="C9" s="23" t="str">
        <x:v>∅22 А500С; L=6960 мм; ГОСТ 34028-2016</x:v>
      </x:c>
      <x:c r="D9" s="23" t="str">
        <x:v>шт</x:v>
      </x:c>
      <x:c r="E9" s="26" t="n">
        <x:f>'04_Ресурсы'!J9</x:f>
        <x:v>29</x:v>
      </x:c>
      <x:c r="F9" s="26" t="n">
        <x:f>IF('04_Ресурсы'!K9="","",'04_Ресурсы'!K9)</x:f>
        <x:v>20.74</x:v>
      </x:c>
      <x:c r="G9" s="26" t="n">
        <x:f>IF('04_Ресурсы'!L9="","",'04_Ресурсы'!L9)</x:f>
        <x:v>601.4599999999999</x:v>
      </x:c>
      <x:c r="H9" s="23" t="str">
        <x:v>АС.2 л.48; PDF 58</x:v>
      </x:c>
      <x:c r="I9" s="23" t="str">
        <x:v>Расхождения количества/итога/раскладки — RFI-L01. Исходные числа не исправлены.</x:v>
      </x:c>
      <x:c r="J9" s="23" t="str">
        <x:v>L1_Фп-1/4</x:v>
      </x:c>
    </x:row>
    <x:row r="10" ht="58" customHeight="1">
      <x:c r="A10" s="23" t="n">
        <x:v>5</x:v>
      </x:c>
      <x:c r="B10" s="23" t="str">
        <x:v>Фп-1 / 5</x:v>
      </x:c>
      <x:c r="C10" s="23" t="str">
        <x:v>∅12 А500С; L=3060 мм; ГОСТ 34028-2016</x:v>
      </x:c>
      <x:c r="D10" s="23" t="str">
        <x:v>шт</x:v>
      </x:c>
      <x:c r="E10" s="26" t="n">
        <x:f>'04_Ресурсы'!J10</x:f>
        <x:v>22</x:v>
      </x:c>
      <x:c r="F10" s="26" t="n">
        <x:f>IF('04_Ресурсы'!K10="","",'04_Ресурсы'!K10)</x:f>
        <x:v>2.72</x:v>
      </x:c>
      <x:c r="G10" s="26" t="n">
        <x:f>IF('04_Ресурсы'!L10="","",'04_Ресурсы'!L10)</x:f>
        <x:v>59.84</x:v>
      </x:c>
      <x:c r="H10" s="23" t="str">
        <x:v>АС.2 л.48; PDF 58</x:v>
      </x:c>
      <x:c r="I10" s="23" t="str">
        <x:v>Расхождения количества/итога/раскладки — RFI-L01. Исходные числа не исправлены.</x:v>
      </x:c>
      <x:c r="J10" s="23" t="str">
        <x:v>L1_Фп-1/5</x:v>
      </x:c>
    </x:row>
    <x:row r="11" ht="58" customHeight="1">
      <x:c r="A11" s="23" t="n">
        <x:v>6</x:v>
      </x:c>
      <x:c r="B11" s="23" t="str">
        <x:v>Фп-1 / 6</x:v>
      </x:c>
      <x:c r="C11" s="23" t="str">
        <x:v>∅12 А500С; L=7060 мм; ГОСТ 34028-2016</x:v>
      </x:c>
      <x:c r="D11" s="23" t="str">
        <x:v>шт</x:v>
      </x:c>
      <x:c r="E11" s="26" t="n">
        <x:f>'04_Ресурсы'!J11</x:f>
        <x:v>16</x:v>
      </x:c>
      <x:c r="F11" s="26" t="n">
        <x:f>IF('04_Ресурсы'!K11="","",'04_Ресурсы'!K11)</x:f>
        <x:v>6.27</x:v>
      </x:c>
      <x:c r="G11" s="26" t="n">
        <x:f>IF('04_Ресурсы'!L11="","",'04_Ресурсы'!L11)</x:f>
        <x:v>100.32</x:v>
      </x:c>
      <x:c r="H11" s="23" t="str">
        <x:v>АС.2 л.48; PDF 58</x:v>
      </x:c>
      <x:c r="I11" s="23" t="str">
        <x:v>Расхождения количества/итога/раскладки — RFI-L01. Исходные числа не исправлены.</x:v>
      </x:c>
      <x:c r="J11" s="23" t="str">
        <x:v>L1_Фп-1/6</x:v>
      </x:c>
    </x:row>
    <x:row r="12" ht="58" customHeight="1">
      <x:c r="A12" s="23" t="n">
        <x:v>7</x:v>
      </x:c>
      <x:c r="B12" s="23" t="str">
        <x:v>Фп-1 / 7</x:v>
      </x:c>
      <x:c r="C12" s="23" t="str">
        <x:v>∅12 А500С; L=2860 мм; ГОСТ 34028-2016</x:v>
      </x:c>
      <x:c r="D12" s="23" t="str">
        <x:v>шт</x:v>
      </x:c>
      <x:c r="E12" s="26" t="n">
        <x:f>'04_Ресурсы'!J12</x:f>
        <x:v>20</x:v>
      </x:c>
      <x:c r="F12" s="26" t="n">
        <x:f>IF('04_Ресурсы'!K12="","",'04_Ресурсы'!K12)</x:f>
        <x:v>2.54</x:v>
      </x:c>
      <x:c r="G12" s="26" t="n">
        <x:f>IF('04_Ресурсы'!L12="","",'04_Ресурсы'!L12)</x:f>
        <x:v>50.8</x:v>
      </x:c>
      <x:c r="H12" s="23" t="str">
        <x:v>АС.2 л.48; PDF 58</x:v>
      </x:c>
      <x:c r="I12" s="23" t="str">
        <x:v>Расхождения количества/итога/раскладки — RFI-L01. Исходные числа не исправлены.</x:v>
      </x:c>
      <x:c r="J12" s="23" t="str">
        <x:v>L1_Фп-1/7</x:v>
      </x:c>
    </x:row>
    <x:row r="13" ht="58" customHeight="1">
      <x:c r="A13" s="23" t="n">
        <x:v>8</x:v>
      </x:c>
      <x:c r="B13" s="23" t="str">
        <x:v>Фп-1 / 8</x:v>
      </x:c>
      <x:c r="C13" s="23" t="str">
        <x:v>∅12 А500С; L=6960 мм; ГОСТ 34028-2016</x:v>
      </x:c>
      <x:c r="D13" s="23" t="str">
        <x:v>шт</x:v>
      </x:c>
      <x:c r="E13" s="26" t="n">
        <x:f>'04_Ресурсы'!J13</x:f>
        <x:v>15</x:v>
      </x:c>
      <x:c r="F13" s="26" t="n">
        <x:f>IF('04_Ресурсы'!K13="","",'04_Ресурсы'!K13)</x:f>
        <x:v>6.18</x:v>
      </x:c>
      <x:c r="G13" s="26" t="n">
        <x:f>IF('04_Ресурсы'!L13="","",'04_Ресурсы'!L13)</x:f>
        <x:v>92.69999999999999</x:v>
      </x:c>
      <x:c r="H13" s="23" t="str">
        <x:v>АС.2 л.48; PDF 58</x:v>
      </x:c>
      <x:c r="I13" s="23" t="str">
        <x:v>Расхождения количества/итога/раскладки — RFI-L01. Исходные числа не исправлены.</x:v>
      </x:c>
      <x:c r="J13" s="23" t="str">
        <x:v>L1_Фп-1/8</x:v>
      </x:c>
    </x:row>
    <x:row r="14" ht="58" customHeight="1">
      <x:c r="A14" s="23" t="n">
        <x:v>9</x:v>
      </x:c>
      <x:c r="B14" s="23" t="str">
        <x:v>Фп-1 / П-1</x:v>
      </x:c>
      <x:c r="C14" s="23" t="str">
        <x:v>∅12 А500С; L=1400 мм; ГОСТ 34028-2016</x:v>
      </x:c>
      <x:c r="D14" s="23" t="str">
        <x:v>шт</x:v>
      </x:c>
      <x:c r="E14" s="26" t="n">
        <x:f>'04_Ресурсы'!J14</x:f>
        <x:v>141</x:v>
      </x:c>
      <x:c r="F14" s="26" t="n">
        <x:f>IF('04_Ресурсы'!K14="","",'04_Ресурсы'!K14)</x:f>
        <x:v>1.24</x:v>
      </x:c>
      <x:c r="G14" s="26" t="n">
        <x:f>IF('04_Ресурсы'!L14="","",'04_Ресурсы'!L14)</x:f>
        <x:v>174.84</x:v>
      </x:c>
      <x:c r="H14" s="23" t="str">
        <x:v>АС.2 л.48; PDF 58</x:v>
      </x:c>
      <x:c r="I14" s="23" t="str">
        <x:v>RFI-L01: итог в РД не равен количеству × массе.</x:v>
      </x:c>
      <x:c r="J14" s="23" t="str">
        <x:v>L1_Фп-1/П-1</x:v>
      </x:c>
    </x:row>
    <x:row r="15" ht="58" customHeight="1">
      <x:c r="A15" s="23" t="n">
        <x:v>10</x:v>
      </x:c>
      <x:c r="B15" s="23" t="str">
        <x:v>Фп-1 / Ф-1</x:v>
      </x:c>
      <x:c r="C15" s="23" t="str">
        <x:v>∅10 А240; L=1130 мм; ГОСТ 34028-2016</x:v>
      </x:c>
      <x:c r="D15" s="23" t="str">
        <x:v>шт</x:v>
      </x:c>
      <x:c r="E15" s="26" t="n">
        <x:f>'04_Ресурсы'!J15</x:f>
        <x:v>52</x:v>
      </x:c>
      <x:c r="F15" s="26" t="n">
        <x:f>IF('04_Ресурсы'!K15="","",'04_Ресурсы'!K15)</x:f>
        <x:v>0.7</x:v>
      </x:c>
      <x:c r="G15" s="26" t="n">
        <x:f>IF('04_Ресурсы'!L15="","",'04_Ресурсы'!L15)</x:f>
        <x:v>36.4</x:v>
      </x:c>
      <x:c r="H15" s="23" t="str">
        <x:v>АС.2 л.48; PDF 58</x:v>
      </x:c>
      <x:c r="I15" s="23" t="str">
        <x:v>RFI-L01</x:v>
      </x:c>
      <x:c r="J15" s="23" t="str">
        <x:v>L1_Фп-1/Ф-1</x:v>
      </x:c>
    </x:row>
    <x:row r="16" ht="58" customHeight="1">
      <x:c r="A16" s="23" t="n">
        <x:v>11</x:v>
      </x:c>
      <x:c r="B16" s="23" t="str">
        <x:v>Фп-1 / В-1</x:v>
      </x:c>
      <x:c r="C16" s="23" t="str">
        <x:v>∅12 А500С; L=2430 мм; ГОСТ 34028-2016</x:v>
      </x:c>
      <x:c r="D16" s="23" t="str">
        <x:v>шт</x:v>
      </x:c>
      <x:c r="E16" s="26" t="n">
        <x:f>'04_Ресурсы'!J16</x:f>
        <x:v>134</x:v>
      </x:c>
      <x:c r="F16" s="26" t="n">
        <x:f>IF('04_Ресурсы'!K16="","",'04_Ресурсы'!K16)</x:f>
        <x:v>2.16</x:v>
      </x:c>
      <x:c r="G16" s="26" t="n">
        <x:f>IF('04_Ресурсы'!L16="","",'04_Ресурсы'!L16)</x:f>
        <x:v>289.44</x:v>
      </x:c>
      <x:c r="H16" s="23" t="str">
        <x:v>АС.2 л.48; PDF 58</x:v>
      </x:c>
      <x:c r="I16" s="23" t="str">
        <x:v>Выпуски учтены здесь один раз, не повторяются в стенах.</x:v>
      </x:c>
      <x:c r="J16" s="23" t="str">
        <x:v>L1_Фп-1/В-1</x:v>
      </x:c>
    </x:row>
    <x:row r="17" ht="58" customHeight="1">
      <x:c r="A17" s="23" t="n">
        <x:v>12</x:v>
      </x:c>
      <x:c r="B17" s="23" t="str">
        <x:v>Фп-1 / Бетон</x:v>
      </x:c>
      <x:c r="C17" s="23" t="str">
        <x:v>Тяжёлый бетон В25 F150 W6; ГОСТ 26633-2015</x:v>
      </x:c>
      <x:c r="D17" s="23" t="str">
        <x:v>м³</x:v>
      </x:c>
      <x:c r="E17" s="26" t="n">
        <x:f>'04_Ресурсы'!J17</x:f>
        <x:v>12</x:v>
      </x:c>
      <x:c r="F17" s="26" t="str">
        <x:f>IF('04_Ресурсы'!K17="","",'04_Ресурсы'!K17)</x:f>
      </x:c>
      <x:c r="G17" s="26" t="str">
        <x:f>IF('04_Ресурсы'!L17="","",'04_Ресурсы'!L17)</x:f>
      </x:c>
      <x:c r="H17" s="23" t="str">
        <x:v>АС.2 л.48; PDF 58</x:v>
      </x:c>
      <x:c r="I17" s="23" t="str">
        <x:v>РД: 12 м³; контроль геометрии вынесен отдельно. Не подогнано.</x:v>
      </x:c>
      <x:c r="J17" s="23" t="str">
        <x:v>L1_Фп-1/Бетон</x:v>
      </x:c>
    </x:row>
    <x:row r="18" ht="58" customHeight="1">
      <x:c r="A18" s="23" t="n">
        <x:v>13</x:v>
      </x:c>
      <x:c r="B18" s="23" t="str">
        <x:v>Фп-1 / Подготовка</x:v>
      </x:c>
      <x:c r="C18" s="23" t="str">
        <x:v>Тяжёлый бетон В7,5; ГОСТ 26633-2015</x:v>
      </x:c>
      <x:c r="D18" s="23" t="str">
        <x:v>м³</x:v>
      </x:c>
      <x:c r="E18" s="26" t="n">
        <x:f>'04_Ресурсы'!J18</x:f>
        <x:v>4.3</x:v>
      </x:c>
      <x:c r="F18" s="26" t="str">
        <x:f>IF('04_Ресурсы'!K18="","",'04_Ресурсы'!K18)</x:f>
      </x:c>
      <x:c r="G18" s="26" t="str">
        <x:f>IF('04_Ресурсы'!L18="","",'04_Ресурсы'!L18)</x:f>
      </x:c>
      <x:c r="H18" s="23" t="str">
        <x:v>АС.2 л.48; PDF 58</x:v>
      </x:c>
      <x:c r="I18" s="23" t="str">
        <x:v>Подготовка. РД: 4,3 м³; контроль площади отдельно.</x:v>
      </x:c>
      <x:c r="J18" s="23" t="str">
        <x:v>L1_Фп-1/Подготовка</x:v>
      </x:c>
    </x:row>
    <x:row r="19" ht="58" customHeight="1">
      <x:c r="A19" s="23" t="n">
        <x:v>14</x:v>
      </x:c>
      <x:c r="B19" s="23" t="str">
        <x:v>С-1-1 / 1</x:v>
      </x:c>
      <x:c r="C19" s="23" t="str">
        <x:v>∅12 А500С; L=3050 мм; ГОСТ 34028-2016</x:v>
      </x:c>
      <x:c r="D19" s="23" t="str">
        <x:v>шт</x:v>
      </x:c>
      <x:c r="E19" s="26" t="n">
        <x:f>'04_Ресурсы'!J19</x:f>
        <x:v>12</x:v>
      </x:c>
      <x:c r="F19" s="26" t="n">
        <x:f>IF('04_Ресурсы'!K19="","",'04_Ресурсы'!K19)</x:f>
        <x:v>2.71</x:v>
      </x:c>
      <x:c r="G19" s="26" t="n">
        <x:f>IF('04_Ресурсы'!L19="","",'04_Ресурсы'!L19)</x:f>
        <x:v>32.519999999999996</x:v>
      </x:c>
      <x:c r="H19" s="23" t="str">
        <x:v>АС.2 л.50; PDF 60</x:v>
      </x:c>
      <x:c r="I19" s="23" t="str">
        <x:v>По спецификации РД</x:v>
      </x:c>
      <x:c r="J19" s="23" t="str">
        <x:v>L1_С-1-1/1</x:v>
      </x:c>
    </x:row>
    <x:row r="20" ht="58" customHeight="1">
      <x:c r="A20" s="23" t="n">
        <x:v>15</x:v>
      </x:c>
      <x:c r="B20" s="23" t="str">
        <x:v>С-1-1 / 2</x:v>
      </x:c>
      <x:c r="C20" s="23" t="str">
        <x:v>∅12 А500С; L=1750 мм; ГОСТ 34028-2016</x:v>
      </x:c>
      <x:c r="D20" s="23" t="str">
        <x:v>шт</x:v>
      </x:c>
      <x:c r="E20" s="26" t="n">
        <x:f>'04_Ресурсы'!J20</x:f>
        <x:v>14</x:v>
      </x:c>
      <x:c r="F20" s="26" t="n">
        <x:f>IF('04_Ресурсы'!K20="","",'04_Ресурсы'!K20)</x:f>
        <x:v>1.55</x:v>
      </x:c>
      <x:c r="G20" s="26" t="n">
        <x:f>IF('04_Ресурсы'!L20="","",'04_Ресурсы'!L20)</x:f>
        <x:v>21.7</x:v>
      </x:c>
      <x:c r="H20" s="23" t="str">
        <x:v>АС.2 л.50; PDF 60</x:v>
      </x:c>
      <x:c r="I20" s="23" t="str">
        <x:v>По спецификации РД</x:v>
      </x:c>
      <x:c r="J20" s="23" t="str">
        <x:v>L1_С-1-1/2</x:v>
      </x:c>
    </x:row>
    <x:row r="21" ht="58" customHeight="1">
      <x:c r="A21" s="23" t="n">
        <x:v>16</x:v>
      </x:c>
      <x:c r="B21" s="23" t="str">
        <x:v>С-1-1 / П-2</x:v>
      </x:c>
      <x:c r="C21" s="23" t="str">
        <x:v>∅12 А500С; L=1160 мм; ГОСТ 34028-2016</x:v>
      </x:c>
      <x:c r="D21" s="23" t="str">
        <x:v>шт</x:v>
      </x:c>
      <x:c r="E21" s="26" t="n">
        <x:f>'04_Ресурсы'!J21</x:f>
        <x:v>25</x:v>
      </x:c>
      <x:c r="F21" s="26" t="n">
        <x:f>IF('04_Ресурсы'!K21="","",'04_Ресурсы'!K21)</x:f>
        <x:v>1.03</x:v>
      </x:c>
      <x:c r="G21" s="26" t="n">
        <x:f>IF('04_Ресурсы'!L21="","",'04_Ресурсы'!L21)</x:f>
        <x:v>25.75</x:v>
      </x:c>
      <x:c r="H21" s="23" t="str">
        <x:v>АС.2 л.50; PDF 60</x:v>
      </x:c>
      <x:c r="I21" s="23" t="str">
        <x:v>По спецификации РД</x:v>
      </x:c>
      <x:c r="J21" s="23" t="str">
        <x:v>L1_С-1-1/П-2</x:v>
      </x:c>
    </x:row>
    <x:row r="22" ht="58" customHeight="1">
      <x:c r="A22" s="23" t="n">
        <x:v>17</x:v>
      </x:c>
      <x:c r="B22" s="23" t="str">
        <x:v>С-1-1 / П-3</x:v>
      </x:c>
      <x:c r="C22" s="23" t="str">
        <x:v>∅12 А500С; L=1140 мм; ГОСТ 34028-2016</x:v>
      </x:c>
      <x:c r="D22" s="23" t="str">
        <x:v>шт</x:v>
      </x:c>
      <x:c r="E22" s="26" t="n">
        <x:f>'04_Ресурсы'!J22</x:f>
        <x:v>11</x:v>
      </x:c>
      <x:c r="F22" s="26" t="n">
        <x:f>IF('04_Ресурсы'!K22="","",'04_Ресурсы'!K22)</x:f>
        <x:v>1.01</x:v>
      </x:c>
      <x:c r="G22" s="26" t="n">
        <x:f>IF('04_Ресурсы'!L22="","",'04_Ресурсы'!L22)</x:f>
        <x:v>11.11</x:v>
      </x:c>
      <x:c r="H22" s="23" t="str">
        <x:v>АС.2 л.50; PDF 60</x:v>
      </x:c>
      <x:c r="I22" s="23" t="str">
        <x:v>По спецификации РД</x:v>
      </x:c>
      <x:c r="J22" s="23" t="str">
        <x:v>L1_С-1-1/П-3</x:v>
      </x:c>
    </x:row>
    <x:row r="23" ht="58" customHeight="1">
      <x:c r="A23" s="23" t="n">
        <x:v>18</x:v>
      </x:c>
      <x:c r="B23" s="23" t="str">
        <x:v>С-1-1 / Ш-1</x:v>
      </x:c>
      <x:c r="C23" s="23" t="str">
        <x:v>∅10 А240; L=290 мм; ГОСТ 34028-2016</x:v>
      </x:c>
      <x:c r="D23" s="23" t="str">
        <x:v>шт</x:v>
      </x:c>
      <x:c r="E23" s="26" t="n">
        <x:f>'04_Ресурсы'!J23</x:f>
        <x:v>34</x:v>
      </x:c>
      <x:c r="F23" s="26" t="n">
        <x:f>IF('04_Ресурсы'!K23="","",'04_Ресурсы'!K23)</x:f>
        <x:v>0.18</x:v>
      </x:c>
      <x:c r="G23" s="26" t="n">
        <x:f>IF('04_Ресурсы'!L23="","",'04_Ресурсы'!L23)</x:f>
        <x:v>6.12</x:v>
      </x:c>
      <x:c r="H23" s="23" t="str">
        <x:v>АС.2 л.50; PDF 60</x:v>
      </x:c>
      <x:c r="I23" s="23" t="str">
        <x:v>По спецификации РД</x:v>
      </x:c>
      <x:c r="J23" s="23" t="str">
        <x:v>L1_С-1-1/Ш-1</x:v>
      </x:c>
    </x:row>
    <x:row r="24" ht="58" customHeight="1">
      <x:c r="A24" s="23" t="n">
        <x:v>19</x:v>
      </x:c>
      <x:c r="B24" s="23" t="str">
        <x:v>С-1-1 / Х-1</x:v>
      </x:c>
      <x:c r="C24" s="23" t="str">
        <x:v>∅12 А500С; L=1930 мм; ГОСТ 34028-2016</x:v>
      </x:c>
      <x:c r="D24" s="23" t="str">
        <x:v>шт</x:v>
      </x:c>
      <x:c r="E24" s="26" t="n">
        <x:f>'04_Ресурсы'!J24</x:f>
        <x:v>6</x:v>
      </x:c>
      <x:c r="F24" s="26" t="n">
        <x:f>IF('04_Ресурсы'!K24="","",'04_Ресурсы'!K24)</x:f>
        <x:v>1.71</x:v>
      </x:c>
      <x:c r="G24" s="26" t="n">
        <x:f>IF('04_Ресурсы'!L24="","",'04_Ресурсы'!L24)</x:f>
        <x:v>10.26</x:v>
      </x:c>
      <x:c r="H24" s="23" t="str">
        <x:v>АС.2 л.50; PDF 60</x:v>
      </x:c>
      <x:c r="I24" s="23" t="str">
        <x:v>По спецификации РД</x:v>
      </x:c>
      <x:c r="J24" s="23" t="str">
        <x:v>L1_С-1-1/Х-1</x:v>
      </x:c>
    </x:row>
    <x:row r="25" ht="58" customHeight="1">
      <x:c r="A25" s="23" t="n">
        <x:v>20</x:v>
      </x:c>
      <x:c r="B25" s="23" t="str">
        <x:v>С-1-1 / Бетон</x:v>
      </x:c>
      <x:c r="C25" s="23" t="str">
        <x:v>Тяжёлый бетон В25 F75 W6; ГОСТ 26633-2015</x:v>
      </x:c>
      <x:c r="D25" s="23" t="str">
        <x:v>м³</x:v>
      </x:c>
      <x:c r="E25" s="26" t="n">
        <x:f>'04_Ресурсы'!J25</x:f>
        <x:v>1.3</x:v>
      </x:c>
      <x:c r="F25" s="26" t="str">
        <x:f>IF('04_Ресурсы'!K25="","",'04_Ресурсы'!K25)</x:f>
      </x:c>
      <x:c r="G25" s="26" t="str">
        <x:f>IF('04_Ресурсы'!L25="","",'04_Ресурсы'!L25)</x:f>
      </x:c>
      <x:c r="H25" s="23" t="str">
        <x:v>АС.2 л.50; PDF 60</x:v>
      </x:c>
      <x:c r="I25" s="23" t="str">
        <x:v>F75 сохранено по таблице, отличается от общих указаний F150.</x:v>
      </x:c>
      <x:c r="J25" s="23" t="str">
        <x:v>L1_С-1-1/Бетон</x:v>
      </x:c>
    </x:row>
    <x:row r="26" ht="58" customHeight="1">
      <x:c r="A26" s="23" t="n">
        <x:v>21</x:v>
      </x:c>
      <x:c r="B26" s="23" t="str">
        <x:v>С-1-2 / 1</x:v>
      </x:c>
      <x:c r="C26" s="23" t="str">
        <x:v>∅12 А500С; L=6440 мм; ГОСТ 34028-2016</x:v>
      </x:c>
      <x:c r="D26" s="23" t="str">
        <x:v>шт</x:v>
      </x:c>
      <x:c r="E26" s="26" t="n">
        <x:f>'04_Ресурсы'!J26</x:f>
        <x:v>24</x:v>
      </x:c>
      <x:c r="F26" s="26" t="n">
        <x:f>IF('04_Ресурсы'!K26="","",'04_Ресурсы'!K26)</x:f>
        <x:v>5.72</x:v>
      </x:c>
      <x:c r="G26" s="26" t="n">
        <x:f>IF('04_Ресурсы'!L26="","",'04_Ресурсы'!L26)</x:f>
        <x:v>137.28</x:v>
      </x:c>
      <x:c r="H26" s="23" t="str">
        <x:v>АС.2 л.51; PDF 61</x:v>
      </x:c>
      <x:c r="I26" s="23" t="str">
        <x:v>По спецификации РД</x:v>
      </x:c>
      <x:c r="J26" s="23" t="str">
        <x:v>L1_С-1-2/1</x:v>
      </x:c>
    </x:row>
    <x:row r="27" ht="58" customHeight="1">
      <x:c r="A27" s="23" t="n">
        <x:v>22</x:v>
      </x:c>
      <x:c r="B27" s="23" t="str">
        <x:v>С-1-2 / 2</x:v>
      </x:c>
      <x:c r="C27" s="23" t="str">
        <x:v>∅12 А500С; L=1200 мм; ГОСТ 34028-2016</x:v>
      </x:c>
      <x:c r="D27" s="23" t="str">
        <x:v>шт</x:v>
      </x:c>
      <x:c r="E27" s="26" t="n">
        <x:f>'04_Ресурсы'!J27</x:f>
        <x:v>19</x:v>
      </x:c>
      <x:c r="F27" s="26" t="n">
        <x:f>IF('04_Ресурсы'!K27="","",'04_Ресурсы'!K27)</x:f>
        <x:v>1.07</x:v>
      </x:c>
      <x:c r="G27" s="26" t="n">
        <x:f>IF('04_Ресурсы'!L27="","",'04_Ресурсы'!L27)</x:f>
        <x:v>20.330000000000002</x:v>
      </x:c>
      <x:c r="H27" s="23" t="str">
        <x:v>АС.2 л.51; PDF 61</x:v>
      </x:c>
      <x:c r="I27" s="23" t="str">
        <x:v>По спецификации РД</x:v>
      </x:c>
      <x:c r="J27" s="23" t="str">
        <x:v>L1_С-1-2/2</x:v>
      </x:c>
    </x:row>
    <x:row r="28" ht="58" customHeight="1">
      <x:c r="A28" s="23" t="n">
        <x:v>23</x:v>
      </x:c>
      <x:c r="B28" s="23" t="str">
        <x:v>С-1-2 / П-2</x:v>
      </x:c>
      <x:c r="C28" s="23" t="str">
        <x:v>∅12 А500С; L=1160 мм; ГОСТ 34028-2016</x:v>
      </x:c>
      <x:c r="D28" s="23" t="str">
        <x:v>шт</x:v>
      </x:c>
      <x:c r="E28" s="26" t="n">
        <x:f>'04_Ресурсы'!J28</x:f>
        <x:v>24</x:v>
      </x:c>
      <x:c r="F28" s="26" t="n">
        <x:f>IF('04_Ресурсы'!K28="","",'04_Ресурсы'!K28)</x:f>
        <x:v>1.03</x:v>
      </x:c>
      <x:c r="G28" s="26" t="n">
        <x:f>IF('04_Ресурсы'!L28="","",'04_Ресурсы'!L28)</x:f>
        <x:v>24.72</x:v>
      </x:c>
      <x:c r="H28" s="23" t="str">
        <x:v>АС.2 л.51; PDF 61</x:v>
      </x:c>
      <x:c r="I28" s="23" t="str">
        <x:v>По спецификации РД</x:v>
      </x:c>
      <x:c r="J28" s="23" t="str">
        <x:v>L1_С-1-2/П-2</x:v>
      </x:c>
    </x:row>
    <x:row r="29" ht="58" customHeight="1">
      <x:c r="A29" s="23" t="n">
        <x:v>24</x:v>
      </x:c>
      <x:c r="B29" s="23" t="str">
        <x:v>С-1-2 / П-3</x:v>
      </x:c>
      <x:c r="C29" s="23" t="str">
        <x:v>∅12 А500С; L=1140 мм; ГОСТ 34028-2016</x:v>
      </x:c>
      <x:c r="D29" s="23" t="str">
        <x:v>шт</x:v>
      </x:c>
      <x:c r="E29" s="26" t="n">
        <x:f>'04_Ресурсы'!J29</x:f>
        <x:v>41</x:v>
      </x:c>
      <x:c r="F29" s="26" t="n">
        <x:f>IF('04_Ресурсы'!K29="","",'04_Ресурсы'!K29)</x:f>
        <x:v>1.01</x:v>
      </x:c>
      <x:c r="G29" s="26" t="n">
        <x:f>IF('04_Ресурсы'!L29="","",'04_Ресурсы'!L29)</x:f>
        <x:v>41.410000000000004</x:v>
      </x:c>
      <x:c r="H29" s="23" t="str">
        <x:v>АС.2 л.51; PDF 61</x:v>
      </x:c>
      <x:c r="I29" s="23" t="str">
        <x:v>По спецификации РД</x:v>
      </x:c>
      <x:c r="J29" s="23" t="str">
        <x:v>L1_С-1-2/П-3</x:v>
      </x:c>
    </x:row>
    <x:row r="30" ht="58" customHeight="1">
      <x:c r="A30" s="23" t="n">
        <x:v>25</x:v>
      </x:c>
      <x:c r="B30" s="23" t="str">
        <x:v>С-1-2 / Ш-1</x:v>
      </x:c>
      <x:c r="C30" s="23" t="str">
        <x:v>∅10 А240; L=290 мм; ГОСТ 34028-2016</x:v>
      </x:c>
      <x:c r="D30" s="23" t="str">
        <x:v>шт</x:v>
      </x:c>
      <x:c r="E30" s="26" t="n">
        <x:f>'04_Ресурсы'!J30</x:f>
        <x:v>95</x:v>
      </x:c>
      <x:c r="F30" s="26" t="n">
        <x:f>IF('04_Ресурсы'!K30="","",'04_Ресурсы'!K30)</x:f>
        <x:v>0.18</x:v>
      </x:c>
      <x:c r="G30" s="26" t="n">
        <x:f>IF('04_Ресурсы'!L30="","",'04_Ресурсы'!L30)</x:f>
        <x:v>17.099999999999998</x:v>
      </x:c>
      <x:c r="H30" s="23" t="str">
        <x:v>АС.2 л.51; PDF 61</x:v>
      </x:c>
      <x:c r="I30" s="23" t="str">
        <x:v>По спецификации РД</x:v>
      </x:c>
      <x:c r="J30" s="23" t="str">
        <x:v>L1_С-1-2/Ш-1</x:v>
      </x:c>
    </x:row>
    <x:row r="31" ht="58" customHeight="1">
      <x:c r="A31" s="23" t="n">
        <x:v>26</x:v>
      </x:c>
      <x:c r="B31" s="23" t="str">
        <x:v>С-1-2 / Бетон</x:v>
      </x:c>
      <x:c r="C31" s="23" t="str">
        <x:v>Тяжёлый бетон В25 F75 W6; ГОСТ 26633-2015</x:v>
      </x:c>
      <x:c r="D31" s="23" t="str">
        <x:v>м³</x:v>
      </x:c>
      <x:c r="E31" s="26" t="n">
        <x:f>'04_Ресурсы'!J31</x:f>
        <x:v>3.8</x:v>
      </x:c>
      <x:c r="F31" s="26" t="str">
        <x:f>IF('04_Ресурсы'!K31="","",'04_Ресурсы'!K31)</x:f>
      </x:c>
      <x:c r="G31" s="26" t="str">
        <x:f>IF('04_Ресурсы'!L31="","",'04_Ресурсы'!L31)</x:f>
      </x:c>
      <x:c r="H31" s="23" t="str">
        <x:v>АС.2 л.51; PDF 61</x:v>
      </x:c>
      <x:c r="I31" s="23" t="str">
        <x:v>F75 — по таблице.</x:v>
      </x:c>
      <x:c r="J31" s="23" t="str">
        <x:v>L1_С-1-2/Бетон</x:v>
      </x:c>
    </x:row>
    <x:row r="32" ht="58" customHeight="1">
      <x:c r="A32" s="23" t="n">
        <x:v>27</x:v>
      </x:c>
      <x:c r="B32" s="23" t="str">
        <x:v>С-1-3 / 1</x:v>
      </x:c>
      <x:c r="C32" s="23" t="str">
        <x:v>∅12 А500С; L=3050 мм; ГОСТ 34028-2016</x:v>
      </x:c>
      <x:c r="D32" s="23" t="str">
        <x:v>шт</x:v>
      </x:c>
      <x:c r="E32" s="26" t="n">
        <x:f>'04_Ресурсы'!J32</x:f>
        <x:v>12</x:v>
      </x:c>
      <x:c r="F32" s="26" t="n">
        <x:f>IF('04_Ресурсы'!K32="","",'04_Ресурсы'!K32)</x:f>
        <x:v>2.71</x:v>
      </x:c>
      <x:c r="G32" s="26" t="n">
        <x:f>IF('04_Ресурсы'!L32="","",'04_Ресурсы'!L32)</x:f>
        <x:v>32.519999999999996</x:v>
      </x:c>
      <x:c r="H32" s="23" t="str">
        <x:v>АС.2 л.52; PDF 62</x:v>
      </x:c>
      <x:c r="I32" s="23" t="str">
        <x:v>По спецификации РД</x:v>
      </x:c>
      <x:c r="J32" s="23" t="str">
        <x:v>L1_С-1-3/1</x:v>
      </x:c>
    </x:row>
    <x:row r="33" ht="58" customHeight="1">
      <x:c r="A33" s="23" t="n">
        <x:v>28</x:v>
      </x:c>
      <x:c r="B33" s="23" t="str">
        <x:v>С-1-3 / 2</x:v>
      </x:c>
      <x:c r="C33" s="23" t="str">
        <x:v>∅12 А500С; L=1750 мм; ГОСТ 34028-2016</x:v>
      </x:c>
      <x:c r="D33" s="23" t="str">
        <x:v>шт</x:v>
      </x:c>
      <x:c r="E33" s="26" t="n">
        <x:f>'04_Ресурсы'!J33</x:f>
        <x:v>14</x:v>
      </x:c>
      <x:c r="F33" s="26" t="n">
        <x:f>IF('04_Ресурсы'!K33="","",'04_Ресурсы'!K33)</x:f>
        <x:v>1.55</x:v>
      </x:c>
      <x:c r="G33" s="26" t="n">
        <x:f>IF('04_Ресурсы'!L33="","",'04_Ресурсы'!L33)</x:f>
        <x:v>21.7</x:v>
      </x:c>
      <x:c r="H33" s="23" t="str">
        <x:v>АС.2 л.52; PDF 62</x:v>
      </x:c>
      <x:c r="I33" s="23" t="str">
        <x:v>По спецификации РД</x:v>
      </x:c>
      <x:c r="J33" s="23" t="str">
        <x:v>L1_С-1-3/2</x:v>
      </x:c>
    </x:row>
    <x:row r="34" ht="58" customHeight="1">
      <x:c r="A34" s="23" t="n">
        <x:v>29</x:v>
      </x:c>
      <x:c r="B34" s="23" t="str">
        <x:v>С-1-3 / П-2</x:v>
      </x:c>
      <x:c r="C34" s="23" t="str">
        <x:v>∅12 А500С; L=1160 мм; ГОСТ 34028-2016</x:v>
      </x:c>
      <x:c r="D34" s="23" t="str">
        <x:v>шт</x:v>
      </x:c>
      <x:c r="E34" s="26" t="n">
        <x:f>'04_Ресурсы'!J34</x:f>
        <x:v>25</x:v>
      </x:c>
      <x:c r="F34" s="26" t="n">
        <x:f>IF('04_Ресурсы'!K34="","",'04_Ресурсы'!K34)</x:f>
        <x:v>1.03</x:v>
      </x:c>
      <x:c r="G34" s="26" t="n">
        <x:f>IF('04_Ресурсы'!L34="","",'04_Ресурсы'!L34)</x:f>
        <x:v>25.75</x:v>
      </x:c>
      <x:c r="H34" s="23" t="str">
        <x:v>АС.2 л.52; PDF 62</x:v>
      </x:c>
      <x:c r="I34" s="23" t="str">
        <x:v>По спецификации РД</x:v>
      </x:c>
      <x:c r="J34" s="23" t="str">
        <x:v>L1_С-1-3/П-2</x:v>
      </x:c>
    </x:row>
    <x:row r="35" ht="58" customHeight="1">
      <x:c r="A35" s="23" t="n">
        <x:v>30</x:v>
      </x:c>
      <x:c r="B35" s="23" t="str">
        <x:v>С-1-3 / П-3</x:v>
      </x:c>
      <x:c r="C35" s="23" t="str">
        <x:v>∅12 А500С; L=1140 мм; ГОСТ 34028-2016</x:v>
      </x:c>
      <x:c r="D35" s="23" t="str">
        <x:v>шт</x:v>
      </x:c>
      <x:c r="E35" s="26" t="n">
        <x:f>'04_Ресурсы'!J35</x:f>
        <x:v>11</x:v>
      </x:c>
      <x:c r="F35" s="26" t="n">
        <x:f>IF('04_Ресурсы'!K35="","",'04_Ресурсы'!K35)</x:f>
        <x:v>1.01</x:v>
      </x:c>
      <x:c r="G35" s="26" t="n">
        <x:f>IF('04_Ресурсы'!L35="","",'04_Ресурсы'!L35)</x:f>
        <x:v>11.11</x:v>
      </x:c>
      <x:c r="H35" s="23" t="str">
        <x:v>АС.2 л.52; PDF 62</x:v>
      </x:c>
      <x:c r="I35" s="23" t="str">
        <x:v>По спецификации РД</x:v>
      </x:c>
      <x:c r="J35" s="23" t="str">
        <x:v>L1_С-1-3/П-3</x:v>
      </x:c>
    </x:row>
    <x:row r="36" ht="58" customHeight="1">
      <x:c r="A36" s="23" t="n">
        <x:v>31</x:v>
      </x:c>
      <x:c r="B36" s="23" t="str">
        <x:v>С-1-3 / Ш-1</x:v>
      </x:c>
      <x:c r="C36" s="23" t="str">
        <x:v>∅10 А240; L=290 мм; ГОСТ 34028-2016</x:v>
      </x:c>
      <x:c r="D36" s="23" t="str">
        <x:v>шт</x:v>
      </x:c>
      <x:c r="E36" s="26" t="n">
        <x:f>'04_Ресурсы'!J36</x:f>
        <x:v>34</x:v>
      </x:c>
      <x:c r="F36" s="26" t="n">
        <x:f>IF('04_Ресурсы'!K36="","",'04_Ресурсы'!K36)</x:f>
        <x:v>0.18</x:v>
      </x:c>
      <x:c r="G36" s="26" t="n">
        <x:f>IF('04_Ресурсы'!L36="","",'04_Ресурсы'!L36)</x:f>
        <x:v>6.12</x:v>
      </x:c>
      <x:c r="H36" s="23" t="str">
        <x:v>АС.2 л.52; PDF 62</x:v>
      </x:c>
      <x:c r="I36" s="23" t="str">
        <x:v>По спецификации РД</x:v>
      </x:c>
      <x:c r="J36" s="23" t="str">
        <x:v>L1_С-1-3/Ш-1</x:v>
      </x:c>
    </x:row>
    <x:row r="37" ht="58" customHeight="1">
      <x:c r="A37" s="23" t="n">
        <x:v>32</x:v>
      </x:c>
      <x:c r="B37" s="23" t="str">
        <x:v>С-1-3 / Х-1</x:v>
      </x:c>
      <x:c r="C37" s="23" t="str">
        <x:v>∅12 А500С; L=1930 мм; ГОСТ 34028-2016</x:v>
      </x:c>
      <x:c r="D37" s="23" t="str">
        <x:v>шт</x:v>
      </x:c>
      <x:c r="E37" s="26" t="n">
        <x:f>'04_Ресурсы'!J37</x:f>
        <x:v>6</x:v>
      </x:c>
      <x:c r="F37" s="26" t="n">
        <x:f>IF('04_Ресурсы'!K37="","",'04_Ресурсы'!K37)</x:f>
        <x:v>1.71</x:v>
      </x:c>
      <x:c r="G37" s="26" t="n">
        <x:f>IF('04_Ресурсы'!L37="","",'04_Ресурсы'!L37)</x:f>
        <x:v>10.26</x:v>
      </x:c>
      <x:c r="H37" s="23" t="str">
        <x:v>АС.2 л.52; PDF 62</x:v>
      </x:c>
      <x:c r="I37" s="23" t="str">
        <x:v>По спецификации РД</x:v>
      </x:c>
      <x:c r="J37" s="23" t="str">
        <x:v>L1_С-1-3/Х-1</x:v>
      </x:c>
    </x:row>
    <x:row r="38" ht="58" customHeight="1">
      <x:c r="A38" s="23" t="n">
        <x:v>33</x:v>
      </x:c>
      <x:c r="B38" s="23" t="str">
        <x:v>С-1-3 / Бетон</x:v>
      </x:c>
      <x:c r="C38" s="23" t="str">
        <x:v>Тяжёлый бетон В25 F75 W6; ГОСТ 26633-2015</x:v>
      </x:c>
      <x:c r="D38" s="23" t="str">
        <x:v>м³</x:v>
      </x:c>
      <x:c r="E38" s="26" t="n">
        <x:f>'04_Ресурсы'!J38</x:f>
        <x:v>1.3</x:v>
      </x:c>
      <x:c r="F38" s="26" t="str">
        <x:f>IF('04_Ресурсы'!K38="","",'04_Ресурсы'!K38)</x:f>
      </x:c>
      <x:c r="G38" s="26" t="str">
        <x:f>IF('04_Ресурсы'!L38="","",'04_Ресурсы'!L38)</x:f>
      </x:c>
      <x:c r="H38" s="23" t="str">
        <x:v>АС.2 л.52; PDF 62</x:v>
      </x:c>
      <x:c r="I38" s="23" t="str">
        <x:v>F75 сохранено по таблице, отличается от общих указаний F150.</x:v>
      </x:c>
      <x:c r="J38" s="23" t="str">
        <x:v>L1_С-1-3/Бетон</x:v>
      </x:c>
    </x:row>
    <x:row r="39" ht="58" customHeight="1">
      <x:c r="A39" s="23" t="n">
        <x:v>34</x:v>
      </x:c>
      <x:c r="B39" s="23" t="str">
        <x:v>С-1-4 / 1</x:v>
      </x:c>
      <x:c r="C39" s="23" t="str">
        <x:v>∅22 А500С; L=6440 мм; ГОСТ 34028-2016</x:v>
      </x:c>
      <x:c r="D39" s="23" t="str">
        <x:v>шт</x:v>
      </x:c>
      <x:c r="E39" s="26" t="n">
        <x:f>'04_Ресурсы'!J39</x:f>
        <x:v>10</x:v>
      </x:c>
      <x:c r="F39" s="26" t="n">
        <x:f>IF('04_Ресурсы'!K39="","",'04_Ресурсы'!K39)</x:f>
        <x:v>19.19</x:v>
      </x:c>
      <x:c r="G39" s="26" t="n">
        <x:f>IF('04_Ресурсы'!L39="","",'04_Ресурсы'!L39)</x:f>
        <x:v>191.9</x:v>
      </x:c>
      <x:c r="H39" s="23" t="str">
        <x:v>АС.2 л.53; PDF 63</x:v>
      </x:c>
      <x:c r="I39" s="23" t="str">
        <x:v>По спецификации РД</x:v>
      </x:c>
      <x:c r="J39" s="23" t="str">
        <x:v>L1_С-1-4/1</x:v>
      </x:c>
    </x:row>
    <x:row r="40" ht="58" customHeight="1">
      <x:c r="A40" s="23" t="n">
        <x:v>35</x:v>
      </x:c>
      <x:c r="B40" s="23" t="str">
        <x:v>С-1-4 / 2</x:v>
      </x:c>
      <x:c r="C40" s="23" t="str">
        <x:v>∅16 А500С; L=6440 мм; ГОСТ 34028-2016</x:v>
      </x:c>
      <x:c r="D40" s="23" t="str">
        <x:v>шт</x:v>
      </x:c>
      <x:c r="E40" s="26" t="n">
        <x:f>'04_Ресурсы'!J40</x:f>
        <x:v>7</x:v>
      </x:c>
      <x:c r="F40" s="26" t="n">
        <x:f>IF('04_Ресурсы'!K40="","",'04_Ресурсы'!K40)</x:f>
        <x:v>10.18</x:v>
      </x:c>
      <x:c r="G40" s="26" t="n">
        <x:f>IF('04_Ресурсы'!L40="","",'04_Ресурсы'!L40)</x:f>
        <x:v>71.25999999999999</x:v>
      </x:c>
      <x:c r="H40" s="23" t="str">
        <x:v>АС.2 л.53; PDF 63</x:v>
      </x:c>
      <x:c r="I40" s="23" t="str">
        <x:v>По спецификации РД</x:v>
      </x:c>
      <x:c r="J40" s="23" t="str">
        <x:v>L1_С-1-4/2</x:v>
      </x:c>
    </x:row>
    <x:row r="41" ht="58" customHeight="1">
      <x:c r="A41" s="23" t="n">
        <x:v>36</x:v>
      </x:c>
      <x:c r="B41" s="23" t="str">
        <x:v>С-1-4 / 3</x:v>
      </x:c>
      <x:c r="C41" s="23" t="str">
        <x:v>∅12 А500С; L=2860 мм; ГОСТ 34028-2016</x:v>
      </x:c>
      <x:c r="D41" s="23" t="str">
        <x:v>шт</x:v>
      </x:c>
      <x:c r="E41" s="26" t="n">
        <x:f>'04_Ресурсы'!J41</x:f>
        <x:v>14</x:v>
      </x:c>
      <x:c r="F41" s="26" t="n">
        <x:f>IF('04_Ресурсы'!K41="","",'04_Ресурсы'!K41)</x:f>
        <x:v>2.54</x:v>
      </x:c>
      <x:c r="G41" s="26" t="n">
        <x:f>IF('04_Ресурсы'!L41="","",'04_Ресурсы'!L41)</x:f>
        <x:v>35.56</x:v>
      </x:c>
      <x:c r="H41" s="23" t="str">
        <x:v>АС.2 л.53; PDF 63</x:v>
      </x:c>
      <x:c r="I41" s="23" t="str">
        <x:v>По спецификации РД</x:v>
      </x:c>
      <x:c r="J41" s="23" t="str">
        <x:v>L1_С-1-4/3</x:v>
      </x:c>
    </x:row>
    <x:row r="42" ht="58" customHeight="1">
      <x:c r="A42" s="23" t="n">
        <x:v>37</x:v>
      </x:c>
      <x:c r="B42" s="23" t="str">
        <x:v>С-1-4 / 4</x:v>
      </x:c>
      <x:c r="C42" s="23" t="str">
        <x:v>∅12 А500С; L=1200 мм; ГОСТ 34028-2016</x:v>
      </x:c>
      <x:c r="D42" s="23" t="str">
        <x:v>шт</x:v>
      </x:c>
      <x:c r="E42" s="26" t="n">
        <x:f>'04_Ресурсы'!J42</x:f>
        <x:v>19</x:v>
      </x:c>
      <x:c r="F42" s="26" t="n">
        <x:f>IF('04_Ресурсы'!K42="","",'04_Ресурсы'!K42)</x:f>
        <x:v>1.07</x:v>
      </x:c>
      <x:c r="G42" s="26" t="n">
        <x:f>IF('04_Ресурсы'!L42="","",'04_Ресурсы'!L42)</x:f>
        <x:v>20.330000000000002</x:v>
      </x:c>
      <x:c r="H42" s="23" t="str">
        <x:v>АС.2 л.53; PDF 63</x:v>
      </x:c>
      <x:c r="I42" s="23" t="str">
        <x:v>По спецификации РД</x:v>
      </x:c>
      <x:c r="J42" s="23" t="str">
        <x:v>L1_С-1-4/4</x:v>
      </x:c>
    </x:row>
    <x:row r="43" ht="58" customHeight="1">
      <x:c r="A43" s="23" t="n">
        <x:v>38</x:v>
      </x:c>
      <x:c r="B43" s="23" t="str">
        <x:v>С-1-4 / Г-1</x:v>
      </x:c>
      <x:c r="C43" s="23" t="str">
        <x:v>∅12 А500С; L=1400 мм; ГОСТ 34028-2016</x:v>
      </x:c>
      <x:c r="D43" s="23" t="str">
        <x:v>шт</x:v>
      </x:c>
      <x:c r="E43" s="26" t="n">
        <x:f>'04_Ресурсы'!J43</x:f>
        <x:v>12</x:v>
      </x:c>
      <x:c r="F43" s="26" t="n">
        <x:f>IF('04_Ресурсы'!K43="","",'04_Ресурсы'!K43)</x:f>
        <x:v>1.24</x:v>
      </x:c>
      <x:c r="G43" s="26" t="n">
        <x:f>IF('04_Ресурсы'!L43="","",'04_Ресурсы'!L43)</x:f>
        <x:v>14.879999999999999</x:v>
      </x:c>
      <x:c r="H43" s="23" t="str">
        <x:v>АС.2 л.53; PDF 63</x:v>
      </x:c>
      <x:c r="I43" s="23" t="str">
        <x:v>По спецификации РД</x:v>
      </x:c>
      <x:c r="J43" s="23" t="str">
        <x:v>L1_С-1-4/Г-1</x:v>
      </x:c>
    </x:row>
    <x:row r="44" ht="58" customHeight="1">
      <x:c r="A44" s="23" t="n">
        <x:v>39</x:v>
      </x:c>
      <x:c r="B44" s="23" t="str">
        <x:v>С-1-4 / П-4</x:v>
      </x:c>
      <x:c r="C44" s="23" t="str">
        <x:v>∅12 А500С; L=1310 мм; ГОСТ 34028-2016</x:v>
      </x:c>
      <x:c r="D44" s="23" t="str">
        <x:v>шт</x:v>
      </x:c>
      <x:c r="E44" s="26" t="n">
        <x:f>'04_Ресурсы'!J44</x:f>
        <x:v>14</x:v>
      </x:c>
      <x:c r="F44" s="26" t="n">
        <x:f>IF('04_Ресурсы'!K44="","",'04_Ресурсы'!K44)</x:f>
        <x:v>1.16</x:v>
      </x:c>
      <x:c r="G44" s="26" t="n">
        <x:f>IF('04_Ресурсы'!L44="","",'04_Ресурсы'!L44)</x:f>
        <x:v>16.24</x:v>
      </x:c>
      <x:c r="H44" s="23" t="str">
        <x:v>АС.2 л.53; PDF 63</x:v>
      </x:c>
      <x:c r="I44" s="23" t="str">
        <x:v>По спецификации РД</x:v>
      </x:c>
      <x:c r="J44" s="23" t="str">
        <x:v>L1_С-1-4/П-4</x:v>
      </x:c>
    </x:row>
    <x:row r="45" ht="58" customHeight="1">
      <x:c r="A45" s="23" t="n">
        <x:v>40</x:v>
      </x:c>
      <x:c r="B45" s="23" t="str">
        <x:v>С-1-4 / Ш-1</x:v>
      </x:c>
      <x:c r="C45" s="23" t="str">
        <x:v>∅10 А240; L=290 мм; ГОСТ 34028-2016</x:v>
      </x:c>
      <x:c r="D45" s="23" t="str">
        <x:v>шт</x:v>
      </x:c>
      <x:c r="E45" s="26" t="n">
        <x:f>'04_Ресурсы'!J45</x:f>
        <x:v>24</x:v>
      </x:c>
      <x:c r="F45" s="26" t="n">
        <x:f>IF('04_Ресурсы'!K45="","",'04_Ресурсы'!K45)</x:f>
        <x:v>0.18</x:v>
      </x:c>
      <x:c r="G45" s="26" t="n">
        <x:f>IF('04_Ресурсы'!L45="","",'04_Ресурсы'!L45)</x:f>
        <x:v>4.32</x:v>
      </x:c>
      <x:c r="H45" s="23" t="str">
        <x:v>АС.2 л.53; PDF 63</x:v>
      </x:c>
      <x:c r="I45" s="23" t="str">
        <x:v>По спецификации РД</x:v>
      </x:c>
      <x:c r="J45" s="23" t="str">
        <x:v>L1_С-1-4/Ш-1</x:v>
      </x:c>
    </x:row>
    <x:row r="46" ht="58" customHeight="1">
      <x:c r="A46" s="23" t="n">
        <x:v>41</x:v>
      </x:c>
      <x:c r="B46" s="23" t="str">
        <x:v>С-1-4 / Х-1</x:v>
      </x:c>
      <x:c r="C46" s="23" t="str">
        <x:v>∅8 А240; L=2300 мм; ГОСТ 34028-2016</x:v>
      </x:c>
      <x:c r="D46" s="23" t="str">
        <x:v>шт</x:v>
      </x:c>
      <x:c r="E46" s="26" t="n">
        <x:f>'04_Ресурсы'!J46</x:f>
        <x:v>79</x:v>
      </x:c>
      <x:c r="F46" s="26" t="n">
        <x:f>IF('04_Ресурсы'!K46="","",'04_Ресурсы'!K46)</x:f>
        <x:v>0.91</x:v>
      </x:c>
      <x:c r="G46" s="26" t="n">
        <x:f>IF('04_Ресурсы'!L46="","",'04_Ресурсы'!L46)</x:f>
        <x:v>71.89</x:v>
      </x:c>
      <x:c r="H46" s="23" t="str">
        <x:v>АС.2 л.53; PDF 63</x:v>
      </x:c>
      <x:c r="I46" s="23" t="str">
        <x:v>По спецификации РД</x:v>
      </x:c>
      <x:c r="J46" s="23" t="str">
        <x:v>L1_С-1-4/Х-1</x:v>
      </x:c>
    </x:row>
    <x:row r="47" ht="58" customHeight="1">
      <x:c r="A47" s="23" t="n">
        <x:v>42</x:v>
      </x:c>
      <x:c r="B47" s="23" t="str">
        <x:v>С-1-4 / Ш-2</x:v>
      </x:c>
      <x:c r="C47" s="23" t="str">
        <x:v>∅10 А240; L=450 мм; ГОСТ 34028-2016</x:v>
      </x:c>
      <x:c r="D47" s="23" t="str">
        <x:v>шт</x:v>
      </x:c>
      <x:c r="E47" s="26" t="n">
        <x:f>'04_Ресурсы'!J47</x:f>
        <x:v>79</x:v>
      </x:c>
      <x:c r="F47" s="26" t="n">
        <x:f>IF('04_Ресурсы'!K47="","",'04_Ресурсы'!K47)</x:f>
        <x:v>0.28</x:v>
      </x:c>
      <x:c r="G47" s="26" t="n">
        <x:f>IF('04_Ресурсы'!L47="","",'04_Ресурсы'!L47)</x:f>
        <x:v>22.12</x:v>
      </x:c>
      <x:c r="H47" s="23" t="str">
        <x:v>АС.2 л.53; PDF 63</x:v>
      </x:c>
      <x:c r="I47" s="23" t="str">
        <x:v>По спецификации РД</x:v>
      </x:c>
      <x:c r="J47" s="23" t="str">
        <x:v>L1_С-1-4/Ш-2</x:v>
      </x:c>
    </x:row>
    <x:row r="48" ht="58" customHeight="1">
      <x:c r="A48" s="23" t="n">
        <x:v>43</x:v>
      </x:c>
      <x:c r="B48" s="23" t="str">
        <x:v>С-1-4 / Бетон</x:v>
      </x:c>
      <x:c r="C48" s="23" t="str">
        <x:v>Тяжёлый бетон В25 F75 W6; ГОСТ 26633-2015</x:v>
      </x:c>
      <x:c r="D48" s="23" t="str">
        <x:v>м³</x:v>
      </x:c>
      <x:c r="E48" s="26" t="n">
        <x:f>'04_Ресурсы'!J48</x:f>
        <x:v>4.1</x:v>
      </x:c>
      <x:c r="F48" s="26" t="str">
        <x:f>IF('04_Ресурсы'!K48="","",'04_Ресурсы'!K48)</x:f>
      </x:c>
      <x:c r="G48" s="26" t="str">
        <x:f>IF('04_Ресурсы'!L48="","",'04_Ресурсы'!L48)</x:f>
      </x:c>
      <x:c r="H48" s="23" t="str">
        <x:v>АС.2 л.53; PDF 63</x:v>
      </x:c>
      <x:c r="I48" s="23" t="str">
        <x:v>F75 — по таблице.</x:v>
      </x:c>
      <x:c r="J48" s="23" t="str">
        <x:v>L1_С-1-4/Бетон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c1f5b4aef6fc435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7" hidden="0" customWidth="1"/>
    <x:col min="3" max="3" width="8" hidden="0" customWidth="1"/>
    <x:col min="4" max="4" width="16" hidden="0" customWidth="1"/>
    <x:col min="5" max="5" width="28" hidden="0" customWidth="1"/>
    <x:col min="6" max="6" width="34" hidden="0" customWidth="1"/>
    <x:col min="7" max="7" width="70" hidden="0" customWidth="1"/>
  </x:cols>
  <x:sheetData>
    <x:row r="1" ht="32" customHeight="1">
      <x:c r="A1" s="4" t="str">
        <x:v>Л-1 / ВОР — ПОДЗЕМНАЯ ЧАСТЬ</x:v>
      </x:c>
      <x:c r="B1" s="4"/>
      <x:c r="C1" s="4"/>
      <x:c r="D1" s="4"/>
      <x:c r="E1" s="4"/>
      <x:c r="F1" s="4"/>
      <x:c r="G1" s="4"/>
    </x:row>
    <x:row r="2" ht="23" customHeight="1">
      <x:c r="A2" s="10" t="str">
        <x:v>Количество с числом — по РД либо явно обозначенному расчёту. Пустое количество означает «требуется уточнение», не ноль. Материал и операция не суммируются как единая потребность.</x:v>
      </x:c>
      <x:c r="B2" s="10"/>
      <x:c r="C2" s="10"/>
      <x:c r="D2" s="10"/>
      <x:c r="E2" s="10"/>
      <x:c r="F2" s="10"/>
      <x:c r="G2" s="10"/>
    </x:row>
    <x:row r="3" ht="23" customHeight="1">
      <x:c r="A3" s="10"/>
      <x:c r="B3" s="10"/>
      <x:c r="C3" s="10"/>
      <x:c r="D3" s="10"/>
      <x:c r="E3" s="10"/>
      <x:c r="F3" s="10"/>
      <x:c r="G3" s="10"/>
    </x:row>
    <x:row r="5" ht="38" customHeight="1">
      <x:c r="A5" s="17" t="str">
        <x:v>№</x:v>
      </x:c>
      <x:c r="B5" s="17" t="str">
        <x:v>Наименование работ</x:v>
      </x:c>
      <x:c r="C5" s="17" t="str">
        <x:v>Ед.</x:v>
      </x:c>
      <x:c r="D5" s="17" t="str">
        <x:v>Количество</x:v>
      </x:c>
      <x:c r="E5" s="17" t="str">
        <x:v>Источник</x:v>
      </x:c>
      <x:c r="F5" s="17" t="str">
        <x:v>Статус объёма</x:v>
      </x:c>
      <x:c r="G5" s="17" t="str">
        <x:v>Расчёт / ограничение</x:v>
      </x:c>
    </x:row>
    <x:row r="6" ht="58" customHeight="1">
      <x:c r="A6" s="23" t="n">
        <x:v>1</x:v>
      </x:c>
      <x:c r="B6" s="23" t="str">
        <x:v>Бетонирование Фп-1: Тяжёлый бетон В25 F150 W6; ГОСТ 26633-2015</x:v>
      </x:c>
      <x:c r="C6" s="23" t="str">
        <x:v>м³</x:v>
      </x:c>
      <x:c r="D6" s="26" t="n">
        <x:f>'04_Ресурсы'!J17</x:f>
        <x:v>12</x:v>
      </x:c>
      <x:c r="E6" s="23" t="str">
        <x:v>АС.2 л.48; PDF 58</x:v>
      </x:c>
      <x:c r="F6" s="23" t="str">
        <x:v>РД; проверить коллизию</x:v>
      </x:c>
      <x:c r="G6" s="23" t="str">
        <x:v>РД: 12 м³; контроль геометрии вынесен отдельно. Не подогнано.</x:v>
      </x:c>
    </x:row>
    <x:row r="7" ht="58" customHeight="1">
      <x:c r="A7" s="23" t="n">
        <x:v>2</x:v>
      </x:c>
      <x:c r="B7" s="23" t="str">
        <x:v>Устройство бетонной подготовки Фп-1: Тяжёлый бетон В7,5; ГОСТ 26633-2015</x:v>
      </x:c>
      <x:c r="C7" s="23" t="str">
        <x:v>м³</x:v>
      </x:c>
      <x:c r="D7" s="26" t="n">
        <x:f>'04_Ресурсы'!J18</x:f>
        <x:v>4.3</x:v>
      </x:c>
      <x:c r="E7" s="23" t="str">
        <x:v>АС.2 л.48; PDF 58</x:v>
      </x:c>
      <x:c r="F7" s="23" t="str">
        <x:v>РД; проверить коллизию</x:v>
      </x:c>
      <x:c r="G7" s="23" t="str">
        <x:v>Подготовка. РД: 4,3 м³; контроль площади отдельно.</x:v>
      </x:c>
    </x:row>
    <x:row r="8" ht="58" customHeight="1">
      <x:c r="A8" s="23" t="n">
        <x:v>3</x:v>
      </x:c>
      <x:c r="B8" s="23" t="str">
        <x:v>Бетонирование С-1-1: Тяжёлый бетон В25 F75 W6; ГОСТ 26633-2015</x:v>
      </x:c>
      <x:c r="C8" s="23" t="str">
        <x:v>м³</x:v>
      </x:c>
      <x:c r="D8" s="26" t="n">
        <x:f>'04_Ресурсы'!J25</x:f>
        <x:v>1.3</x:v>
      </x:c>
      <x:c r="E8" s="23" t="str">
        <x:v>АС.2 л.50; PDF 60</x:v>
      </x:c>
      <x:c r="F8" s="23" t="str">
        <x:v>По спецификации РД</x:v>
      </x:c>
      <x:c r="G8" s="23" t="str">
        <x:v>F75 сохранено по таблице, отличается от общих указаний F150.</x:v>
      </x:c>
    </x:row>
    <x:row r="9" ht="58" customHeight="1">
      <x:c r="A9" s="23" t="n">
        <x:v>4</x:v>
      </x:c>
      <x:c r="B9" s="23" t="str">
        <x:v>Бетонирование С-1-2: Тяжёлый бетон В25 F75 W6; ГОСТ 26633-2015</x:v>
      </x:c>
      <x:c r="C9" s="23" t="str">
        <x:v>м³</x:v>
      </x:c>
      <x:c r="D9" s="26" t="n">
        <x:f>'04_Ресурсы'!J31</x:f>
        <x:v>3.8</x:v>
      </x:c>
      <x:c r="E9" s="23" t="str">
        <x:v>АС.2 л.51; PDF 61</x:v>
      </x:c>
      <x:c r="F9" s="23" t="str">
        <x:v>По спецификации РД</x:v>
      </x:c>
      <x:c r="G9" s="23" t="str">
        <x:v>F75 — по таблице.</x:v>
      </x:c>
    </x:row>
    <x:row r="10" ht="58" customHeight="1">
      <x:c r="A10" s="23" t="n">
        <x:v>5</x:v>
      </x:c>
      <x:c r="B10" s="23" t="str">
        <x:v>Бетонирование С-1-3: Тяжёлый бетон В25 F75 W6; ГОСТ 26633-2015</x:v>
      </x:c>
      <x:c r="C10" s="23" t="str">
        <x:v>м³</x:v>
      </x:c>
      <x:c r="D10" s="26" t="n">
        <x:f>'04_Ресурсы'!J38</x:f>
        <x:v>1.3</x:v>
      </x:c>
      <x:c r="E10" s="23" t="str">
        <x:v>АС.2 л.52; PDF 62</x:v>
      </x:c>
      <x:c r="F10" s="23" t="str">
        <x:v>По спецификации РД</x:v>
      </x:c>
      <x:c r="G10" s="23" t="str">
        <x:v>F75 сохранено по таблице, отличается от общих указаний F150.</x:v>
      </x:c>
    </x:row>
    <x:row r="11" ht="58" customHeight="1">
      <x:c r="A11" s="23" t="n">
        <x:v>6</x:v>
      </x:c>
      <x:c r="B11" s="23" t="str">
        <x:v>Бетонирование С-1-4: Тяжёлый бетон В25 F75 W6; ГОСТ 26633-2015</x:v>
      </x:c>
      <x:c r="C11" s="23" t="str">
        <x:v>м³</x:v>
      </x:c>
      <x:c r="D11" s="26" t="n">
        <x:f>'04_Ресурсы'!J48</x:f>
        <x:v>4.1</x:v>
      </x:c>
      <x:c r="E11" s="23" t="str">
        <x:v>АС.2 л.53; PDF 63</x:v>
      </x:c>
      <x:c r="F11" s="23" t="str">
        <x:v>По спецификации РД</x:v>
      </x:c>
      <x:c r="G11" s="23" t="str">
        <x:v>F75 — по таблице.</x:v>
      </x:c>
    </x:row>
    <x:row r="12" ht="58" customHeight="1">
      <x:c r="A12" s="23" t="n">
        <x:v>7</x:v>
      </x:c>
      <x:c r="B12" s="23" t="str">
        <x:v>Изготовление и установка арматуры, включая детали каркасов и выпуски</x:v>
      </x:c>
      <x:c r="C12" s="23" t="str">
        <x:v>кг</x:v>
      </x:c>
      <x:c r="D12" s="26" t="n">
        <x:f>'04_Ресурсы'!L6+'04_Ресурсы'!L7+'04_Ресурсы'!L8+'04_Ресурсы'!L9+'04_Ресурсы'!L10+'04_Ресурсы'!L11+'04_Ресурсы'!L12+'04_Ресурсы'!L13+'04_Ресурсы'!L14+'04_Ресурсы'!L15+'04_Ресурсы'!L16+'04_Ресурсы'!L19+'04_Ресурсы'!L20+'04_Ресурсы'!L21+'04_Ресурсы'!L22+'04_Ресурсы'!L23+'04_Ресурсы'!L24+'04_Ресурсы'!L26+'04_Ресурсы'!L27+'04_Ресурсы'!L28+'04_Ресурсы'!L29+'04_Ресурсы'!L30+'04_Ресурсы'!L32+'04_Ресурсы'!L33+'04_Ресурсы'!L34+'04_Ресурсы'!L35+'04_Ресурсы'!L36+'04_Ресурсы'!L37+'04_Ресурсы'!L39+'04_Ресурсы'!L40+'04_Ресурсы'!L41+'04_Ресурсы'!L42+'04_Ресурсы'!L43+'04_Ресурсы'!L44+'04_Ресурсы'!L45+'04_Ресурсы'!L46+'04_Ресурсы'!L47</x:f>
        <x:v>2567.44</x:v>
      </x:c>
      <x:c r="E12" s="23" t="str">
        <x:v>Детальные спецификации этажа; см. СП</x:v>
      </x:c>
      <x:c r="F12" s="23" t="str">
        <x:v>Расчёт по единичным массам РД</x:v>
      </x:c>
      <x:c r="G12" s="23" t="str">
        <x:v>Массы спорных позиций не исправлены нормативными аналогами. Выпуски Фп-1 учтены один раз.</x:v>
      </x:c>
    </x:row>
    <x:row r="13" ht="58" customHeight="1">
      <x:c r="A13" s="36" t="n">
        <x:v>8</x:v>
      </x:c>
      <x:c r="B13" s="36" t="str">
        <x:v>Разработка котлована и ручная доработка возле существующих фундаментов</x:v>
      </x:c>
      <x:c r="C13" s="36" t="str">
        <x:v>м³</x:v>
      </x:c>
      <x:c r="D13" s="38"/>
      <x:c r="E13" s="36" t="str">
        <x:v>АС.2 л.47</x:v>
      </x:c>
      <x:c r="F13" s="36" t="str">
        <x:v>ТРЕБУЕТСЯ УТОЧНЕНИЕ</x:v>
      </x:c>
      <x:c r="G13" s="36" t="str">
        <x:v>Граница выемки, откосы/крепление и фактические отметки не даны.</x:v>
      </x:c>
    </x:row>
    <x:row r="14" ht="58" customHeight="1">
      <x:c r="A14" s="36" t="n">
        <x:v>9</x:v>
      </x:c>
      <x:c r="B14" s="36" t="str">
        <x:v>Обратная засыпка с уплотнением</x:v>
      </x:c>
      <x:c r="C14" s="36" t="str">
        <x:v>м³</x:v>
      </x:c>
      <x:c r="D14" s="38"/>
      <x:c r="E14" s="36" t="str">
        <x:v>АС.2 л.47</x:v>
      </x:c>
      <x:c r="F14" s="36" t="str">
        <x:v>ТРЕБУЕТСЯ УТОЧНЕНИЕ</x:v>
      </x:c>
      <x:c r="G14" s="36" t="str">
        <x:v>Нет согласованного объёма выемки и способа заполнения.</x:v>
      </x:c>
    </x:row>
    <x:row r="15" ht="58" customHeight="1">
      <x:c r="A15" s="36" t="n">
        <x:v>10</x:v>
      </x:c>
      <x:c r="B15" s="36" t="str">
        <x:v>Кирпичные опоры на существующих фундаментах до −0,920</x:v>
      </x:c>
      <x:c r="C15" s="36" t="str">
        <x:v>м³</x:v>
      </x:c>
      <x:c r="D15" s="38"/>
      <x:c r="E15" s="36" t="str">
        <x:v>АС.2 л.47</x:v>
      </x:c>
      <x:c r="F15" s="36" t="str">
        <x:v>ТРЕБУЕТСЯ УТОЧНЕНИЕ</x:v>
      </x:c>
      <x:c r="G15" s="36" t="str">
        <x:v>Не включать в объём бетона стен; уточнить контуры опирания.</x:v>
      </x:c>
    </x:row>
    <x:row r="16" ht="58" customHeight="1">
      <x:c r="A16" s="36" t="n">
        <x:v>11</x:v>
      </x:c>
      <x:c r="B16" s="36" t="str">
        <x:v>Установка и снятие опалубки Фп-1 и подземных стен</x:v>
      </x:c>
      <x:c r="C16" s="36" t="str">
        <x:v>м²</x:v>
      </x:c>
      <x:c r="D16" s="38"/>
      <x:c r="E16" s="36" t="str">
        <x:v>АС.2 л.47–54</x:v>
      </x:c>
      <x:c r="F16" s="36" t="str">
        <x:v>ТРЕБУЕТСЯ УТОЧНЕНИЕ</x:v>
      </x:c>
      <x:c r="G16" s="36" t="str">
        <x:v>Разделить открытые грани, бетонные стыки и опирание на существующие конструкции.</x:v>
      </x:c>
    </x:row>
    <x:row r="17" ht="58" customHeight="1">
      <x:c r="A17" s="36" t="n">
        <x:v>12</x:v>
      </x:c>
      <x:c r="B17" s="36" t="str">
        <x:v>Устройство гидроизоляции и разделительных слоёв по примыканиям</x:v>
      </x:c>
      <x:c r="C17" s="36" t="str">
        <x:v>м²</x:v>
      </x:c>
      <x:c r="D17" s="38"/>
      <x:c r="E17" s="36" t="str">
        <x:v>АС.2 л.47,48</x:v>
      </x:c>
      <x:c r="F17" s="36" t="str">
        <x:v>ТРЕБУЕТСЯ УТОЧНЕНИЕ</x:v>
      </x:c>
      <x:c r="G17" s="36" t="str">
        <x:v>Мастика / праймер / рубероид / ПСБ-С по узлам; уточнить площади контакта.</x:v>
      </x:c>
    </x:row>
    <x:row r="18" ht="58" customHeight="1">
      <x:c r="A18" s="36" t="n">
        <x:v>13</x:v>
      </x:c>
      <x:c r="B18" s="36" t="str">
        <x:v>Ограждения маршей и площадок / поручни</x:v>
      </x:c>
      <x:c r="C18" s="36" t="str">
        <x:v>м</x:v>
      </x:c>
      <x:c r="D18" s="38"/>
      <x:c r="E18" s="36" t="str">
        <x:v>Листы 47–69</x:v>
      </x:c>
      <x:c r="F18" s="36" t="str">
        <x:v>Не специфицировано в диапазоне</x:v>
      </x:c>
      <x:c r="G18" s="36" t="str">
        <x:v>Не назначать длину и марку без профильных чертежей ограждений.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0a7e39dbf80146f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47" hidden="0" customWidth="1"/>
    <x:col min="4" max="4" width="7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  <x:col min="9" max="9" width="60" hidden="0" customWidth="1"/>
    <x:col min="10" max="10" width="32" hidden="0" customWidth="1"/>
  </x:cols>
  <x:sheetData>
    <x:row r="1" ht="32" customHeight="1">
      <x:c r="A1" s="4" t="str">
        <x:v>Л-1 / СПЕЦИФИКАЦИЯ — 1 ЭТАЖ → 2 ЭТАЖ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10" t="str">
        <x:v>Основные материалы без запаса и стоимости. Арматурные каркасы раскрыты на стержни; массы взяты из РД и проверены арифметически. Жёлтые строки — предварительные или требующие согласования.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8" customHeight="1">
      <x:c r="A5" s="17" t="str">
        <x:v>№</x:v>
      </x:c>
      <x:c r="B5" s="17" t="str">
        <x:v>Конструкция / позиция</x:v>
      </x:c>
      <x:c r="C5" s="17" t="str">
        <x:v>Материал / изделие</x:v>
      </x:c>
      <x:c r="D5" s="17" t="str">
        <x:v>Ед.</x:v>
      </x:c>
      <x:c r="E5" s="17" t="str">
        <x:v>Количество</x:v>
      </x:c>
      <x:c r="F5" s="17" t="str">
        <x:v>Масса ед., кг</x:v>
      </x:c>
      <x:c r="G5" s="17" t="str">
        <x:v>Масса всего, кг</x:v>
      </x:c>
      <x:c r="H5" s="17" t="str">
        <x:v>Источник</x:v>
      </x:c>
      <x:c r="I5" s="17" t="str">
        <x:v>Основание / статус</x:v>
      </x:c>
      <x:c r="J5" s="17" t="str">
        <x:v>Связь / ID</x:v>
      </x:c>
    </x:row>
    <x:row r="6" ht="58" customHeight="1">
      <x:c r="A6" s="23" t="n">
        <x:v>1</x:v>
      </x:c>
      <x:c r="B6" s="23" t="str">
        <x:v>ЛП1 / 1</x:v>
      </x:c>
      <x:c r="C6" s="23" t="str">
        <x:v>∅10 А500С; L=2550 мм; ГОСТ 34028-2016</x:v>
      </x:c>
      <x:c r="D6" s="23" t="str">
        <x:v>шт</x:v>
      </x:c>
      <x:c r="E6" s="26" t="n">
        <x:f>'04_Ресурсы'!J49</x:f>
        <x:v>7</x:v>
      </x:c>
      <x:c r="F6" s="26" t="n">
        <x:f>IF('04_Ресурсы'!K49="","",'04_Ресурсы'!K49)</x:f>
        <x:v>1.57</x:v>
      </x:c>
      <x:c r="G6" s="26" t="n">
        <x:f>IF('04_Ресурсы'!L49="","",'04_Ресурсы'!L49)</x:f>
        <x:v>10.99</x:v>
      </x:c>
      <x:c r="H6" s="23" t="str">
        <x:v>АС.2 л.60; PDF 70</x:v>
      </x:c>
      <x:c r="I6" s="23" t="str">
        <x:v>По спецификации РД</x:v>
      </x:c>
      <x:c r="J6" s="23" t="str">
        <x:v>L1_ЛП1_F1/1</x:v>
      </x:c>
    </x:row>
    <x:row r="7" ht="58" customHeight="1">
      <x:c r="A7" s="23" t="n">
        <x:v>2</x:v>
      </x:c>
      <x:c r="B7" s="23" t="str">
        <x:v>ЛП1 / 2</x:v>
      </x:c>
      <x:c r="C7" s="23" t="str">
        <x:v>∅10 А500С; L=1180 мм; ГОСТ 34028-2016</x:v>
      </x:c>
      <x:c r="D7" s="23" t="str">
        <x:v>шт</x:v>
      </x:c>
      <x:c r="E7" s="26" t="n">
        <x:f>'04_Ресурсы'!J50</x:f>
        <x:v>1</x:v>
      </x:c>
      <x:c r="F7" s="26" t="n">
        <x:f>IF('04_Ресурсы'!K50="","",'04_Ресурсы'!K50)</x:f>
        <x:v>0.73</x:v>
      </x:c>
      <x:c r="G7" s="26" t="n">
        <x:f>IF('04_Ресурсы'!L50="","",'04_Ресурсы'!L50)</x:f>
        <x:v>0.73</x:v>
      </x:c>
      <x:c r="H7" s="23" t="str">
        <x:v>АС.2 л.60; PDF 70</x:v>
      </x:c>
      <x:c r="I7" s="23" t="str">
        <x:v>По спецификации РД</x:v>
      </x:c>
      <x:c r="J7" s="23" t="str">
        <x:v>L1_ЛП1_F1/2</x:v>
      </x:c>
    </x:row>
    <x:row r="8" ht="58" customHeight="1">
      <x:c r="A8" s="23" t="n">
        <x:v>3</x:v>
      </x:c>
      <x:c r="B8" s="23" t="str">
        <x:v>ЛП1 / 1</x:v>
      </x:c>
      <x:c r="C8" s="23" t="str">
        <x:v>∅10 А500С; L=1230 мм; ГОСТ 34028-2016</x:v>
      </x:c>
      <x:c r="D8" s="23" t="str">
        <x:v>шт</x:v>
      </x:c>
      <x:c r="E8" s="26" t="n">
        <x:f>'04_Ресурсы'!J51</x:f>
        <x:v>7</x:v>
      </x:c>
      <x:c r="F8" s="26" t="n">
        <x:f>IF('04_Ресурсы'!K51="","",'04_Ресурсы'!K51)</x:f>
        <x:v>0.76</x:v>
      </x:c>
      <x:c r="G8" s="26" t="n">
        <x:f>IF('04_Ресурсы'!L51="","",'04_Ресурсы'!L51)</x:f>
        <x:v>5.32</x:v>
      </x:c>
      <x:c r="H8" s="23" t="str">
        <x:v>АС.2 л.65; PDF 75</x:v>
      </x:c>
      <x:c r="I8" s="23" t="str">
        <x:v>Детали каркаса раскрыты, сборочная масса отдельно не суммируется.</x:v>
      </x:c>
      <x:c r="J8" s="23" t="str">
        <x:v>L1_ЛП1_F1/Кр-1/1</x:v>
      </x:c>
    </x:row>
    <x:row r="9" ht="58" customHeight="1">
      <x:c r="A9" s="23" t="n">
        <x:v>4</x:v>
      </x:c>
      <x:c r="B9" s="23" t="str">
        <x:v>ЛП1 / 2</x:v>
      </x:c>
      <x:c r="C9" s="23" t="str">
        <x:v>∅10 А500С; L=1060 мм; ГОСТ 34028-2016</x:v>
      </x:c>
      <x:c r="D9" s="23" t="str">
        <x:v>шт</x:v>
      </x:c>
      <x:c r="E9" s="26" t="n">
        <x:f>'04_Ресурсы'!J52</x:f>
        <x:v>7</x:v>
      </x:c>
      <x:c r="F9" s="26" t="n">
        <x:f>IF('04_Ресурсы'!K52="","",'04_Ресурсы'!K52)</x:f>
        <x:v>0.65</x:v>
      </x:c>
      <x:c r="G9" s="26" t="n">
        <x:f>IF('04_Ресурсы'!L52="","",'04_Ресурсы'!L52)</x:f>
        <x:v>4.55</x:v>
      </x:c>
      <x:c r="H9" s="23" t="str">
        <x:v>АС.2 л.65; PDF 75</x:v>
      </x:c>
      <x:c r="I9" s="23" t="str">
        <x:v>Детали каркаса раскрыты, сборочная масса отдельно не суммируется.</x:v>
      </x:c>
      <x:c r="J9" s="23" t="str">
        <x:v>L1_ЛП1_F1/Кр-1/2</x:v>
      </x:c>
    </x:row>
    <x:row r="10" ht="58" customHeight="1">
      <x:c r="A10" s="23" t="n">
        <x:v>5</x:v>
      </x:c>
      <x:c r="B10" s="23" t="str">
        <x:v>ЛП1 / 3</x:v>
      </x:c>
      <x:c r="C10" s="23" t="str">
        <x:v>∅10 А500С; L=130 мм; ГОСТ 34028-2016</x:v>
      </x:c>
      <x:c r="D10" s="23" t="str">
        <x:v>шт</x:v>
      </x:c>
      <x:c r="E10" s="26" t="n">
        <x:f>'04_Ресурсы'!J53</x:f>
        <x:v>42</x:v>
      </x:c>
      <x:c r="F10" s="26" t="n">
        <x:f>IF('04_Ресурсы'!K53="","",'04_Ресурсы'!K53)</x:f>
        <x:v>0.08</x:v>
      </x:c>
      <x:c r="G10" s="26" t="n">
        <x:f>IF('04_Ресурсы'!L53="","",'04_Ресурсы'!L53)</x:f>
        <x:v>3.36</x:v>
      </x:c>
      <x:c r="H10" s="23" t="str">
        <x:v>АС.2 л.65; PDF 75</x:v>
      </x:c>
      <x:c r="I10" s="23" t="str">
        <x:v>Детали каркаса раскрыты, сборочная масса отдельно не суммируется.</x:v>
      </x:c>
      <x:c r="J10" s="23" t="str">
        <x:v>L1_ЛП1_F1/Кр-1/3</x:v>
      </x:c>
    </x:row>
    <x:row r="11" ht="58" customHeight="1">
      <x:c r="A11" s="23" t="n">
        <x:v>6</x:v>
      </x:c>
      <x:c r="B11" s="23" t="str">
        <x:v>ЛП1 / 4</x:v>
      </x:c>
      <x:c r="C11" s="23" t="str">
        <x:v>∅10 А500С; L=1130 мм; ГОСТ 34028-2016</x:v>
      </x:c>
      <x:c r="D11" s="23" t="str">
        <x:v>шт</x:v>
      </x:c>
      <x:c r="E11" s="26" t="n">
        <x:f>'04_Ресурсы'!J54</x:f>
        <x:v>7</x:v>
      </x:c>
      <x:c r="F11" s="26" t="n">
        <x:f>IF('04_Ресурсы'!K54="","",'04_Ресурсы'!K54)</x:f>
        <x:v>0.7</x:v>
      </x:c>
      <x:c r="G11" s="26" t="n">
        <x:f>IF('04_Ресурсы'!L54="","",'04_Ресурсы'!L54)</x:f>
        <x:v>4.8999999999999995</x:v>
      </x:c>
      <x:c r="H11" s="23" t="str">
        <x:v>АС.2 л.65; PDF 75</x:v>
      </x:c>
      <x:c r="I11" s="23" t="str">
        <x:v>Детали каркаса раскрыты, сборочная масса отдельно не суммируется.</x:v>
      </x:c>
      <x:c r="J11" s="23" t="str">
        <x:v>L1_ЛП1_F1/Кр-2/4</x:v>
      </x:c>
    </x:row>
    <x:row r="12" ht="58" customHeight="1">
      <x:c r="A12" s="23" t="n">
        <x:v>7</x:v>
      </x:c>
      <x:c r="B12" s="23" t="str">
        <x:v>ЛП1 / 2</x:v>
      </x:c>
      <x:c r="C12" s="23" t="str">
        <x:v>∅10 А500С; L=1060 мм; ГОСТ 34028-2016</x:v>
      </x:c>
      <x:c r="D12" s="23" t="str">
        <x:v>шт</x:v>
      </x:c>
      <x:c r="E12" s="26" t="n">
        <x:f>'04_Ресурсы'!J55</x:f>
        <x:v>7</x:v>
      </x:c>
      <x:c r="F12" s="26" t="n">
        <x:f>IF('04_Ресурсы'!K55="","",'04_Ресурсы'!K55)</x:f>
        <x:v>0.65</x:v>
      </x:c>
      <x:c r="G12" s="26" t="n">
        <x:f>IF('04_Ресурсы'!L55="","",'04_Ресурсы'!L55)</x:f>
        <x:v>4.55</x:v>
      </x:c>
      <x:c r="H12" s="23" t="str">
        <x:v>АС.2 л.65; PDF 75</x:v>
      </x:c>
      <x:c r="I12" s="23" t="str">
        <x:v>Детали каркаса раскрыты, сборочная масса отдельно не суммируется.</x:v>
      </x:c>
      <x:c r="J12" s="23" t="str">
        <x:v>L1_ЛП1_F1/Кр-2/2</x:v>
      </x:c>
    </x:row>
    <x:row r="13" ht="58" customHeight="1">
      <x:c r="A13" s="23" t="n">
        <x:v>8</x:v>
      </x:c>
      <x:c r="B13" s="23" t="str">
        <x:v>ЛП1 / 3</x:v>
      </x:c>
      <x:c r="C13" s="23" t="str">
        <x:v>∅10 А500С; L=130 мм; ГОСТ 34028-2016</x:v>
      </x:c>
      <x:c r="D13" s="23" t="str">
        <x:v>шт</x:v>
      </x:c>
      <x:c r="E13" s="26" t="n">
        <x:f>'04_Ресурсы'!J56</x:f>
        <x:v>42</x:v>
      </x:c>
      <x:c r="F13" s="26" t="n">
        <x:f>IF('04_Ресурсы'!K56="","",'04_Ресурсы'!K56)</x:f>
        <x:v>0.08</x:v>
      </x:c>
      <x:c r="G13" s="26" t="n">
        <x:f>IF('04_Ресурсы'!L56="","",'04_Ресурсы'!L56)</x:f>
        <x:v>3.36</x:v>
      </x:c>
      <x:c r="H13" s="23" t="str">
        <x:v>АС.2 л.65; PDF 75</x:v>
      </x:c>
      <x:c r="I13" s="23" t="str">
        <x:v>Детали каркаса раскрыты, сборочная масса отдельно не суммируется.</x:v>
      </x:c>
      <x:c r="J13" s="23" t="str">
        <x:v>L1_ЛП1_F1/Кр-2/3</x:v>
      </x:c>
    </x:row>
    <x:row r="14" ht="58" customHeight="1">
      <x:c r="A14" s="23" t="n">
        <x:v>9</x:v>
      </x:c>
      <x:c r="B14" s="23" t="str">
        <x:v>ЛП1 / П-1</x:v>
      </x:c>
      <x:c r="C14" s="23" t="str">
        <x:v>∅10 А500С; L=1100 мм; ГОСТ 34028-2016</x:v>
      </x:c>
      <x:c r="D14" s="23" t="str">
        <x:v>шт</x:v>
      </x:c>
      <x:c r="E14" s="26" t="n">
        <x:f>'04_Ресурсы'!J57</x:f>
        <x:v>7</x:v>
      </x:c>
      <x:c r="F14" s="26" t="n">
        <x:f>IF('04_Ресурсы'!K57="","",'04_Ресурсы'!K57)</x:f>
        <x:v>0.68</x:v>
      </x:c>
      <x:c r="G14" s="26" t="n">
        <x:f>IF('04_Ресурсы'!L57="","",'04_Ресурсы'!L57)</x:f>
        <x:v>4.760000000000001</x:v>
      </x:c>
      <x:c r="H14" s="23" t="str">
        <x:v>АС.2 л.60; PDF 70</x:v>
      </x:c>
      <x:c r="I14" s="23" t="str">
        <x:v>По спецификации РД</x:v>
      </x:c>
      <x:c r="J14" s="23" t="str">
        <x:v>L1_ЛП1_F1/П-1</x:v>
      </x:c>
    </x:row>
    <x:row r="15" ht="58" customHeight="1">
      <x:c r="A15" s="23" t="n">
        <x:v>10</x:v>
      </x:c>
      <x:c r="B15" s="23" t="str">
        <x:v>ЛП1 / П-2</x:v>
      </x:c>
      <x:c r="C15" s="23" t="str">
        <x:v>∅10 А500С; L=1080 мм; ГОСТ 34028-2016</x:v>
      </x:c>
      <x:c r="D15" s="23" t="str">
        <x:v>шт</x:v>
      </x:c>
      <x:c r="E15" s="26" t="n">
        <x:f>'04_Ресурсы'!J58</x:f>
        <x:v>7</x:v>
      </x:c>
      <x:c r="F15" s="26" t="n">
        <x:f>IF('04_Ресурсы'!K58="","",'04_Ресурсы'!K58)</x:f>
        <x:v>0.67</x:v>
      </x:c>
      <x:c r="G15" s="26" t="n">
        <x:f>IF('04_Ресурсы'!L58="","",'04_Ресурсы'!L58)</x:f>
        <x:v>4.69</x:v>
      </x:c>
      <x:c r="H15" s="23" t="str">
        <x:v>АС.2 л.60; PDF 70</x:v>
      </x:c>
      <x:c r="I15" s="23" t="str">
        <x:v>По спецификации РД</x:v>
      </x:c>
      <x:c r="J15" s="23" t="str">
        <x:v>L1_ЛП1_F1/П-2</x:v>
      </x:c>
    </x:row>
    <x:row r="16" ht="58" customHeight="1">
      <x:c r="A16" s="23" t="n">
        <x:v>11</x:v>
      </x:c>
      <x:c r="B16" s="23" t="str">
        <x:v>ЛП1 / Профлист</x:v>
      </x:c>
      <x:c r="C16" s="23" t="str">
        <x:v>Профлист Н75-750-0,8; ГОСТ 24045-2016</x:v>
      </x:c>
      <x:c r="D16" s="23" t="str">
        <x:v>м²</x:v>
      </x:c>
      <x:c r="E16" s="26" t="n">
        <x:f>'04_Ресурсы'!J59</x:f>
        <x:v>4</x:v>
      </x:c>
      <x:c r="F16" s="26" t="str">
        <x:f>IF('04_Ресурсы'!K59="","",'04_Ресурсы'!K59)</x:f>
      </x:c>
      <x:c r="G16" s="26" t="str">
        <x:f>IF('04_Ресурсы'!L59="","",'04_Ресурсы'!L59)</x:f>
      </x:c>
      <x:c r="H16" s="23" t="str">
        <x:v>АС.2 л.60; PDF 70</x:v>
      </x:c>
      <x:c r="I16" s="23" t="str">
        <x:v>Количество по РД; не пересчитывалось по горизонтальной проекции площадки.</x:v>
      </x:c>
      <x:c r="J16" s="23" t="str">
        <x:v>L1_ЛП1_F1/Профлист</x:v>
      </x:c>
    </x:row>
    <x:row r="17" ht="58" customHeight="1">
      <x:c r="A17" s="23" t="n">
        <x:v>12</x:v>
      </x:c>
      <x:c r="B17" s="23" t="str">
        <x:v>ЛП1 / Бетон</x:v>
      </x:c>
      <x:c r="C17" s="23" t="str">
        <x:v>Тяжёлый бетон В25; ГОСТ 26633-2015</x:v>
      </x:c>
      <x:c r="D17" s="23" t="str">
        <x:v>м³</x:v>
      </x:c>
      <x:c r="E17" s="26" t="n">
        <x:f>'04_Ресурсы'!J60</x:f>
        <x:v>0.6</x:v>
      </x:c>
      <x:c r="F17" s="26" t="str">
        <x:f>IF('04_Ресурсы'!K60="","",'04_Ресурсы'!K60)</x:f>
      </x:c>
      <x:c r="G17" s="26" t="str">
        <x:f>IF('04_Ресурсы'!L60="","",'04_Ресурсы'!L60)</x:f>
      </x:c>
      <x:c r="H17" s="23" t="str">
        <x:v>АС.2 л.60; PDF 70</x:v>
      </x:c>
      <x:c r="I17" s="23" t="str">
        <x:v>По спецификации РД</x:v>
      </x:c>
      <x:c r="J17" s="23" t="str">
        <x:v>L1_ЛП1_F1/Бетон</x:v>
      </x:c>
    </x:row>
    <x:row r="18" ht="58" customHeight="1">
      <x:c r="A18" s="23" t="n">
        <x:v>13</x:v>
      </x:c>
      <x:c r="B18" s="23" t="str">
        <x:v>МУ1 / 1</x:v>
      </x:c>
      <x:c r="C18" s="23" t="str">
        <x:v>∅16 А500С; L=2550 мм; ГОСТ 34028-2016</x:v>
      </x:c>
      <x:c r="D18" s="23" t="str">
        <x:v>шт</x:v>
      </x:c>
      <x:c r="E18" s="26" t="n">
        <x:f>'04_Ресурсы'!J92</x:f>
        <x:v>4</x:v>
      </x:c>
      <x:c r="F18" s="26" t="n">
        <x:f>IF('04_Ресурсы'!K92="","",'04_Ресурсы'!K92)</x:f>
        <x:v>4.03</x:v>
      </x:c>
      <x:c r="G18" s="26" t="n">
        <x:f>IF('04_Ресурсы'!L92="","",'04_Ресурсы'!L92)</x:f>
        <x:v>16.12</x:v>
      </x:c>
      <x:c r="H18" s="23" t="str">
        <x:v>АС.2 л.66; PDF 76</x:v>
      </x:c>
      <x:c r="I18" s="23" t="str">
        <x:v>МУ1: два экземпляра</x:v>
      </x:c>
      <x:c r="J18" s="23" t="str">
        <x:v>L1_МУ1_F1/1</x:v>
      </x:c>
    </x:row>
    <x:row r="19" ht="58" customHeight="1">
      <x:c r="A19" s="23" t="n">
        <x:v>14</x:v>
      </x:c>
      <x:c r="B19" s="23" t="str">
        <x:v>МУ1 / 2</x:v>
      </x:c>
      <x:c r="C19" s="23" t="str">
        <x:v>∅16 А500С; L=1180 мм; ГОСТ 34028-2016</x:v>
      </x:c>
      <x:c r="D19" s="23" t="str">
        <x:v>шт</x:v>
      </x:c>
      <x:c r="E19" s="26" t="n">
        <x:f>'04_Ресурсы'!J93</x:f>
        <x:v>1</x:v>
      </x:c>
      <x:c r="F19" s="26" t="n">
        <x:f>IF('04_Ресурсы'!K93="","",'04_Ресурсы'!K93)</x:f>
        <x:v>1.86</x:v>
      </x:c>
      <x:c r="G19" s="26" t="n">
        <x:f>IF('04_Ресурсы'!L93="","",'04_Ресурсы'!L93)</x:f>
        <x:v>1.86</x:v>
      </x:c>
      <x:c r="H19" s="23" t="str">
        <x:v>АС.2 л.66; PDF 76</x:v>
      </x:c>
      <x:c r="I19" s="23" t="str">
        <x:v>МУ1: два экземпляра</x:v>
      </x:c>
      <x:c r="J19" s="23" t="str">
        <x:v>L1_МУ1_F1/2</x:v>
      </x:c>
    </x:row>
    <x:row r="20" ht="58" customHeight="1">
      <x:c r="A20" s="23" t="n">
        <x:v>15</x:v>
      </x:c>
      <x:c r="B20" s="23" t="str">
        <x:v>МУ1 / 3*</x:v>
      </x:c>
      <x:c r="C20" s="23" t="str">
        <x:v>∅8 А240; L=620 мм; ГОСТ 34028-2016</x:v>
      </x:c>
      <x:c r="D20" s="23" t="str">
        <x:v>шт</x:v>
      </x:c>
      <x:c r="E20" s="26" t="n">
        <x:f>'04_Ресурсы'!J94</x:f>
        <x:v>14</x:v>
      </x:c>
      <x:c r="F20" s="26" t="n">
        <x:f>IF('04_Ресурсы'!K94="","",'04_Ресурсы'!K94)</x:f>
        <x:v>0.24</x:v>
      </x:c>
      <x:c r="G20" s="26" t="n">
        <x:f>IF('04_Ресурсы'!L94="","",'04_Ресурсы'!L94)</x:f>
        <x:v>3.36</x:v>
      </x:c>
      <x:c r="H20" s="23" t="str">
        <x:v>АС.2 л.66; PDF 76</x:v>
      </x:c>
      <x:c r="I20" s="23" t="str">
        <x:v>МУ1: два экземпляра</x:v>
      </x:c>
      <x:c r="J20" s="23" t="str">
        <x:v>L1_МУ1_F1/3*</x:v>
      </x:c>
    </x:row>
    <x:row r="21" ht="58" customHeight="1">
      <x:c r="A21" s="23" t="n">
        <x:v>16</x:v>
      </x:c>
      <x:c r="B21" s="23" t="str">
        <x:v>МУ1 / 4*</x:v>
      </x:c>
      <x:c r="C21" s="23" t="str">
        <x:v>∅8 А240; L=660 мм; ГОСТ 34028-2016</x:v>
      </x:c>
      <x:c r="D21" s="23" t="str">
        <x:v>шт</x:v>
      </x:c>
      <x:c r="E21" s="26" t="n">
        <x:f>'04_Ресурсы'!J95</x:f>
        <x:v>11</x:v>
      </x:c>
      <x:c r="F21" s="26" t="n">
        <x:f>IF('04_Ресурсы'!K95="","",'04_Ресурсы'!K95)</x:f>
        <x:v>0.26</x:v>
      </x:c>
      <x:c r="G21" s="26" t="n">
        <x:f>IF('04_Ресурсы'!L95="","",'04_Ресурсы'!L95)</x:f>
        <x:v>2.8600000000000003</x:v>
      </x:c>
      <x:c r="H21" s="23" t="str">
        <x:v>АС.2 л.66; PDF 76</x:v>
      </x:c>
      <x:c r="I21" s="23" t="str">
        <x:v>МУ1: два экземпляра</x:v>
      </x:c>
      <x:c r="J21" s="23" t="str">
        <x:v>L1_МУ1_F1/4*</x:v>
      </x:c>
    </x:row>
    <x:row r="22" ht="58" customHeight="1">
      <x:c r="A22" s="23" t="n">
        <x:v>17</x:v>
      </x:c>
      <x:c r="B22" s="23" t="str">
        <x:v>МУ1 / Бетон</x:v>
      </x:c>
      <x:c r="C22" s="23" t="str">
        <x:v>Тяжёлый бетон В25; ГОСТ 26633-2015</x:v>
      </x:c>
      <x:c r="D22" s="23" t="str">
        <x:v>м³</x:v>
      </x:c>
      <x:c r="E22" s="26" t="n">
        <x:f>'04_Ресурсы'!J96</x:f>
        <x:v>0.1</x:v>
      </x:c>
      <x:c r="F22" s="26" t="str">
        <x:f>IF('04_Ресурсы'!K96="","",'04_Ресурсы'!K96)</x:f>
      </x:c>
      <x:c r="G22" s="26" t="str">
        <x:f>IF('04_Ресурсы'!L96="","",'04_Ресурсы'!L96)</x:f>
      </x:c>
      <x:c r="H22" s="23" t="str">
        <x:v>АС.2 л.66; PDF 76</x:v>
      </x:c>
      <x:c r="I22" s="23" t="str">
        <x:v>На один экземпляр. Два экземпляра по заголовку л.66 и планам л.55, несмотря на 1 шт в л.56.</x:v>
      </x:c>
      <x:c r="J22" s="23" t="str">
        <x:v>L1_МУ1_F1/Бетон</x:v>
      </x:c>
    </x:row>
    <x:row r="23" ht="58" customHeight="1">
      <x:c r="A23" s="23" t="n">
        <x:v>18</x:v>
      </x:c>
      <x:c r="B23" s="23" t="str">
        <x:v>МУ2 / 1</x:v>
      </x:c>
      <x:c r="C23" s="23" t="str">
        <x:v>∅16 А500С; погонный метраж; ГОСТ 34028-2016</x:v>
      </x:c>
      <x:c r="D23" s="23" t="str">
        <x:v>м</x:v>
      </x:c>
      <x:c r="E23" s="26" t="n">
        <x:f>'04_Ресурсы'!J97</x:f>
        <x:v>72.24</x:v>
      </x:c>
      <x:c r="F23" s="26" t="n">
        <x:f>IF('04_Ресурсы'!K97="","",'04_Ресурсы'!K97)</x:f>
        <x:v>1.58</x:v>
      </x:c>
      <x:c r="G23" s="26" t="n">
        <x:f>IF('04_Ресурсы'!L97="","",'04_Ресурсы'!L97)</x:f>
        <x:v>114.1392</x:v>
      </x:c>
      <x:c r="H23" s="23" t="str">
        <x:v>АС.2 л.67; PDF 77</x:v>
      </x:c>
      <x:c r="I23" s="23" t="str">
        <x:v>По спецификации РД</x:v>
      </x:c>
      <x:c r="J23" s="23" t="str">
        <x:v>L1_МУ2_F1/1</x:v>
      </x:c>
    </x:row>
    <x:row r="24" ht="58" customHeight="1">
      <x:c r="A24" s="23" t="n">
        <x:v>19</x:v>
      </x:c>
      <x:c r="B24" s="23" t="str">
        <x:v>МУ2 / 2*</x:v>
      </x:c>
      <x:c r="C24" s="23" t="str">
        <x:v>∅16 А500С; L=1685 мм; ГОСТ 34028-2016</x:v>
      </x:c>
      <x:c r="D24" s="23" t="str">
        <x:v>шт</x:v>
      </x:c>
      <x:c r="E24" s="26" t="n">
        <x:f>'04_Ресурсы'!J98</x:f>
        <x:v>15</x:v>
      </x:c>
      <x:c r="F24" s="26" t="n">
        <x:f>IF('04_Ресурсы'!K98="","",'04_Ресурсы'!K98)</x:f>
        <x:v>2.66</x:v>
      </x:c>
      <x:c r="G24" s="26" t="n">
        <x:f>IF('04_Ресурсы'!L98="","",'04_Ресурсы'!L98)</x:f>
        <x:v>39.900000000000006</x:v>
      </x:c>
      <x:c r="H24" s="23" t="str">
        <x:v>АС.2 л.67; PDF 77</x:v>
      </x:c>
      <x:c r="I24" s="23" t="str">
        <x:v>Масса единицы сохранена по таблице.</x:v>
      </x:c>
      <x:c r="J24" s="23" t="str">
        <x:v>L1_МУ2_F1/2*</x:v>
      </x:c>
    </x:row>
    <x:row r="25" ht="58" customHeight="1">
      <x:c r="A25" s="23" t="n">
        <x:v>20</x:v>
      </x:c>
      <x:c r="B25" s="23" t="str">
        <x:v>МУ2 / 3*</x:v>
      </x:c>
      <x:c r="C25" s="23" t="str">
        <x:v>∅16 А500С; L=1470 мм; ГОСТ 34028-2016</x:v>
      </x:c>
      <x:c r="D25" s="23" t="str">
        <x:v>шт</x:v>
      </x:c>
      <x:c r="E25" s="26" t="n">
        <x:f>'04_Ресурсы'!J99</x:f>
        <x:v>18</x:v>
      </x:c>
      <x:c r="F25" s="26" t="n">
        <x:f>IF('04_Ресурсы'!K99="","",'04_Ресурсы'!K99)</x:f>
        <x:v>2.32</x:v>
      </x:c>
      <x:c r="G25" s="26" t="n">
        <x:f>IF('04_Ресурсы'!L99="","",'04_Ресурсы'!L99)</x:f>
        <x:v>41.76</x:v>
      </x:c>
      <x:c r="H25" s="23" t="str">
        <x:v>АС.2 л.67; PDF 77</x:v>
      </x:c>
      <x:c r="I25" s="23" t="str">
        <x:v>По спецификации РД</x:v>
      </x:c>
      <x:c r="J25" s="23" t="str">
        <x:v>L1_МУ2_F1/3*</x:v>
      </x:c>
    </x:row>
    <x:row r="26" ht="58" customHeight="1">
      <x:c r="A26" s="23" t="n">
        <x:v>21</x:v>
      </x:c>
      <x:c r="B26" s="23" t="str">
        <x:v>МУ2 / 4*</x:v>
      </x:c>
      <x:c r="C26" s="23" t="str">
        <x:v>∅10 А240; L=910 мм; ГОСТ 34028-2016</x:v>
      </x:c>
      <x:c r="D26" s="23" t="str">
        <x:v>шт</x:v>
      </x:c>
      <x:c r="E26" s="26" t="n">
        <x:f>'04_Ресурсы'!J100</x:f>
        <x:v>8</x:v>
      </x:c>
      <x:c r="F26" s="26" t="n">
        <x:f>IF('04_Ресурсы'!K100="","",'04_Ресурсы'!K100)</x:f>
        <x:v>0.36</x:v>
      </x:c>
      <x:c r="G26" s="26" t="n">
        <x:f>IF('04_Ресурсы'!L100="","",'04_Ресурсы'!L100)</x:f>
        <x:v>2.88</x:v>
      </x:c>
      <x:c r="H26" s="23" t="str">
        <x:v>АС.2 л.67; PDF 77</x:v>
      </x:c>
      <x:c r="I26" s="23" t="str">
        <x:v>∅10/L910/0,36 кг в РД: проверить сочетание диаметра и массы — RFI-L06.</x:v>
      </x:c>
      <x:c r="J26" s="23" t="str">
        <x:v>L1_МУ2_F1/4*</x:v>
      </x:c>
    </x:row>
    <x:row r="27" ht="58" customHeight="1">
      <x:c r="A27" s="23" t="n">
        <x:v>22</x:v>
      </x:c>
      <x:c r="B27" s="23" t="str">
        <x:v>МУ2 / Бетон</x:v>
      </x:c>
      <x:c r="C27" s="23" t="str">
        <x:v>Тяжёлый бетон В25; ГОСТ 26633-2015</x:v>
      </x:c>
      <x:c r="D27" s="23" t="str">
        <x:v>м³</x:v>
      </x:c>
      <x:c r="E27" s="26" t="n">
        <x:f>'04_Ресурсы'!J101</x:f>
        <x:v>0.95</x:v>
      </x:c>
      <x:c r="F27" s="26" t="str">
        <x:f>IF('04_Ресурсы'!K101="","",'04_Ресурсы'!K101)</x:f>
      </x:c>
      <x:c r="G27" s="26" t="str">
        <x:f>IF('04_Ресурсы'!L101="","",'04_Ресурсы'!L101)</x:f>
      </x:c>
      <x:c r="H27" s="23" t="str">
        <x:v>АС.2 л.67; PDF 77</x:v>
      </x:c>
      <x:c r="I27" s="23" t="str">
        <x:v>По спецификации РД</x:v>
      </x:c>
      <x:c r="J27" s="23" t="str">
        <x:v>L1_МУ2_F1/Бетон</x:v>
      </x:c>
    </x:row>
    <x:row r="28" ht="58" customHeight="1">
      <x:c r="A28" s="23" t="n">
        <x:v>23</x:v>
      </x:c>
      <x:c r="B28" s="23" t="str">
        <x:v>КС1 / 1</x:v>
      </x:c>
      <x:c r="C28" s="23" t="str">
        <x:v>Швеллер 22П; С245; ГОСТ 8240-97; L=3230 мм</x:v>
      </x:c>
      <x:c r="D28" s="23" t="str">
        <x:v>шт</x:v>
      </x:c>
      <x:c r="E28" s="26" t="n">
        <x:f>'04_Ресурсы'!J118</x:f>
        <x:v>2</x:v>
      </x:c>
      <x:c r="F28" s="26" t="n">
        <x:f>IF('04_Ресурсы'!K118="","",'04_Ресурсы'!K118)</x:f>
        <x:v>67.83</x:v>
      </x:c>
      <x:c r="G28" s="26" t="n">
        <x:f>IF('04_Ресурсы'!L118="","",'04_Ресурсы'!L118)</x:f>
        <x:v>135.66</x:v>
      </x:c>
      <x:c r="H28" s="23" t="str">
        <x:v>АС.2 л.59; PDF 69</x:v>
      </x:c>
      <x:c r="I28" s="23" t="str">
        <x:v>Габарит монтажа и длина заготовки не тождественны. Для КС1 см. RFI-L05.</x:v>
      </x:c>
      <x:c r="J28" s="23" t="str">
        <x:v>L1_КС1_F1/1</x:v>
      </x:c>
    </x:row>
    <x:row r="29" ht="58" customHeight="1">
      <x:c r="A29" s="23" t="n">
        <x:v>24</x:v>
      </x:c>
      <x:c r="B29" s="23" t="str">
        <x:v>КС1 / 2</x:v>
      </x:c>
      <x:c r="C29" s="23" t="str">
        <x:v>Уголок 75×8; С245; ГОСТ 8509-93; L=130 мм</x:v>
      </x:c>
      <x:c r="D29" s="23" t="str">
        <x:v>шт</x:v>
      </x:c>
      <x:c r="E29" s="26" t="n">
        <x:f>'04_Ресурсы'!J119</x:f>
        <x:v>2</x:v>
      </x:c>
      <x:c r="F29" s="26" t="n">
        <x:f>IF('04_Ресурсы'!K119="","",'04_Ресурсы'!K119)</x:f>
        <x:v>1.17</x:v>
      </x:c>
      <x:c r="G29" s="26" t="n">
        <x:f>IF('04_Ресурсы'!L119="","",'04_Ресурсы'!L119)</x:f>
        <x:v>2.34</x:v>
      </x:c>
      <x:c r="H29" s="23" t="str">
        <x:v>АС.2 л.59; PDF 69</x:v>
      </x:c>
      <x:c r="I29" s="23" t="str">
        <x:v>Парные т/н; изготовление зеркальное</x:v>
      </x:c>
      <x:c r="J29" s="23" t="str">
        <x:v>L1_КС1_F1/2</x:v>
      </x:c>
    </x:row>
    <x:row r="30" ht="58" customHeight="1">
      <x:c r="A30" s="23" t="n">
        <x:v>25</x:v>
      </x:c>
      <x:c r="B30" s="23" t="str">
        <x:v>КС1 / 3</x:v>
      </x:c>
      <x:c r="C30" s="23" t="str">
        <x:v>Лист 10×200; С245; ГОСТ 19903-2015; L=580 мм</x:v>
      </x:c>
      <x:c r="D30" s="23" t="str">
        <x:v>шт</x:v>
      </x:c>
      <x:c r="E30" s="26" t="n">
        <x:f>'04_Ресурсы'!J120</x:f>
        <x:v>2</x:v>
      </x:c>
      <x:c r="F30" s="26" t="n">
        <x:f>IF('04_Ресурсы'!K120="","",'04_Ресурсы'!K120)</x:f>
        <x:v>45.53</x:v>
      </x:c>
      <x:c r="G30" s="26" t="n">
        <x:f>IF('04_Ресурсы'!L120="","",'04_Ресурсы'!L120)</x:f>
        <x:v>91.06</x:v>
      </x:c>
      <x:c r="H30" s="23" t="str">
        <x:v>АС.2 л.59; PDF 69</x:v>
      </x:c>
      <x:c r="I30" s="23" t="str">
        <x:v>45,53 кг сохранено по РД. Проверить массу пластины — RFI-L05.</x:v>
      </x:c>
      <x:c r="J30" s="23" t="str">
        <x:v>L1_КС1_F1/3</x:v>
      </x:c>
    </x:row>
    <x:row r="31" ht="58" customHeight="1">
      <x:c r="A31" s="23" t="n">
        <x:v>26</x:v>
      </x:c>
      <x:c r="B31" s="23" t="str">
        <x:v>КС1 / 4</x:v>
      </x:c>
      <x:c r="C31" s="23" t="str">
        <x:v>Уголок 40×5; С245; ГОСТ 8509-93; L=80 мм</x:v>
      </x:c>
      <x:c r="D31" s="23" t="str">
        <x:v>шт</x:v>
      </x:c>
      <x:c r="E31" s="26" t="n">
        <x:f>'04_Ресурсы'!J121</x:f>
        <x:v>2</x:v>
      </x:c>
      <x:c r="F31" s="26" t="n">
        <x:f>IF('04_Ресурсы'!K121="","",'04_Ресурсы'!K121)</x:f>
        <x:v>0.24</x:v>
      </x:c>
      <x:c r="G31" s="26" t="n">
        <x:f>IF('04_Ресурсы'!L121="","",'04_Ресурсы'!L121)</x:f>
        <x:v>0.48</x:v>
      </x:c>
      <x:c r="H31" s="23" t="str">
        <x:v>АС.2 л.59; PDF 69</x:v>
      </x:c>
      <x:c r="I31" s="23" t="str">
        <x:v>Парные т/н; изготовление зеркальное</x:v>
      </x:c>
      <x:c r="J31" s="23" t="str">
        <x:v>L1_КС1_F1/4</x:v>
      </x:c>
    </x:row>
    <x:row r="32" ht="58" customHeight="1">
      <x:c r="A32" s="23" t="n">
        <x:v>27</x:v>
      </x:c>
      <x:c r="B32" s="23" t="str">
        <x:v>КС2 / 5</x:v>
      </x:c>
      <x:c r="C32" s="23" t="str">
        <x:v>Швеллер 22П; С245; ГОСТ 8240-97; L=4150 мм</x:v>
      </x:c>
      <x:c r="D32" s="23" t="str">
        <x:v>шт</x:v>
      </x:c>
      <x:c r="E32" s="26" t="n">
        <x:f>'04_Ресурсы'!J122</x:f>
        <x:v>2</x:v>
      </x:c>
      <x:c r="F32" s="26" t="n">
        <x:f>IF('04_Ресурсы'!K122="","",'04_Ресурсы'!K122)</x:f>
        <x:v>87.15</x:v>
      </x:c>
      <x:c r="G32" s="26" t="n">
        <x:f>IF('04_Ресурсы'!L122="","",'04_Ресурсы'!L122)</x:f>
        <x:v>174.3</x:v>
      </x:c>
      <x:c r="H32" s="23" t="str">
        <x:v>АС.2 л.59; PDF 69</x:v>
      </x:c>
      <x:c r="I32" s="23" t="str">
        <x:v>Габарит монтажа и длина заготовки не тождественны. Для КС1 см. RFI-L05.</x:v>
      </x:c>
      <x:c r="J32" s="23" t="str">
        <x:v>L1_КС2_F1/5</x:v>
      </x:c>
    </x:row>
    <x:row r="33" ht="58" customHeight="1">
      <x:c r="A33" s="23" t="n">
        <x:v>28</x:v>
      </x:c>
      <x:c r="B33" s="23" t="str">
        <x:v>КС2 / 2</x:v>
      </x:c>
      <x:c r="C33" s="23" t="str">
        <x:v>Уголок 75×8; С245; ГОСТ 8509-93; L=130 мм</x:v>
      </x:c>
      <x:c r="D33" s="23" t="str">
        <x:v>шт</x:v>
      </x:c>
      <x:c r="E33" s="26" t="n">
        <x:f>'04_Ресурсы'!J123</x:f>
        <x:v>4</x:v>
      </x:c>
      <x:c r="F33" s="26" t="n">
        <x:f>IF('04_Ресурсы'!K123="","",'04_Ресурсы'!K123)</x:f>
        <x:v>1.17</x:v>
      </x:c>
      <x:c r="G33" s="26" t="n">
        <x:f>IF('04_Ресурсы'!L123="","",'04_Ресурсы'!L123)</x:f>
        <x:v>4.68</x:v>
      </x:c>
      <x:c r="H33" s="23" t="str">
        <x:v>АС.2 л.59; PDF 69</x:v>
      </x:c>
      <x:c r="I33" s="23" t="str">
        <x:v>Парные т/н; изготовление зеркальное</x:v>
      </x:c>
      <x:c r="J33" s="23" t="str">
        <x:v>L1_КС2_F1/2</x:v>
      </x:c>
    </x:row>
    <x:row r="34" ht="58" customHeight="1">
      <x:c r="A34" s="23" t="n">
        <x:v>29</x:v>
      </x:c>
      <x:c r="B34" s="23" t="str">
        <x:v>КС2 / 4</x:v>
      </x:c>
      <x:c r="C34" s="23" t="str">
        <x:v>Уголок 40×5; С245; ГОСТ 8509-93; L=80 мм</x:v>
      </x:c>
      <x:c r="D34" s="23" t="str">
        <x:v>шт</x:v>
      </x:c>
      <x:c r="E34" s="26" t="n">
        <x:f>'04_Ресурсы'!J124</x:f>
        <x:v>2</x:v>
      </x:c>
      <x:c r="F34" s="26" t="n">
        <x:f>IF('04_Ресурсы'!K124="","",'04_Ресурсы'!K124)</x:f>
        <x:v>0.24</x:v>
      </x:c>
      <x:c r="G34" s="26" t="n">
        <x:f>IF('04_Ресурсы'!L124="","",'04_Ресурсы'!L124)</x:f>
        <x:v>0.48</x:v>
      </x:c>
      <x:c r="H34" s="23" t="str">
        <x:v>АС.2 л.59; PDF 69</x:v>
      </x:c>
      <x:c r="I34" s="23" t="str">
        <x:v>Парные т/н; изготовление зеркальное</x:v>
      </x:c>
      <x:c r="J34" s="23" t="str">
        <x:v>L1_КС2_F1/4</x:v>
      </x:c>
    </x:row>
    <x:row r="35" ht="58" customHeight="1">
      <x:c r="A35" s="23" t="n">
        <x:v>30</x:v>
      </x:c>
      <x:c r="B35" s="23" t="str">
        <x:v>МБ1 / 1</x:v>
      </x:c>
      <x:c r="C35" s="23" t="str">
        <x:v>Швеллер 27П; С245; ГОСТ 8240-97; L=2830 мм</x:v>
      </x:c>
      <x:c r="D35" s="23" t="str">
        <x:v>шт</x:v>
      </x:c>
      <x:c r="E35" s="26" t="n">
        <x:f>'04_Ресурсы'!J125</x:f>
        <x:v>2</x:v>
      </x:c>
      <x:c r="F35" s="26" t="n">
        <x:f>IF('04_Ресурсы'!K125="","",'04_Ресурсы'!K125)</x:f>
        <x:v>78.39</x:v>
      </x:c>
      <x:c r="G35" s="26" t="n">
        <x:f>IF('04_Ресурсы'!L125="","",'04_Ресурсы'!L125)</x:f>
        <x:v>156.78</x:v>
      </x:c>
      <x:c r="H35" s="23" t="str">
        <x:v>АС.2 л.57; PDF 67</x:v>
      </x:c>
      <x:c r="I35" s="23" t="str">
        <x:v>По спецификации РД</x:v>
      </x:c>
      <x:c r="J35" s="23" t="str">
        <x:v>L1_МБ1_F1/1</x:v>
      </x:c>
    </x:row>
    <x:row r="36" ht="58" customHeight="1">
      <x:c r="A36" s="23" t="n">
        <x:v>31</x:v>
      </x:c>
      <x:c r="B36" s="23" t="str">
        <x:v>МБ1 / 2</x:v>
      </x:c>
      <x:c r="C36" s="23" t="str">
        <x:v>Уголок 100×7; С245; ГОСТ 8509-93; L=200 мм</x:v>
      </x:c>
      <x:c r="D36" s="23" t="str">
        <x:v>шт</x:v>
      </x:c>
      <x:c r="E36" s="26" t="n">
        <x:f>'04_Ресурсы'!J126</x:f>
        <x:v>4</x:v>
      </x:c>
      <x:c r="F36" s="26" t="n">
        <x:f>IF('04_Ресурсы'!K126="","",'04_Ресурсы'!K126)</x:f>
        <x:v>2.16</x:v>
      </x:c>
      <x:c r="G36" s="26" t="n">
        <x:f>IF('04_Ресурсы'!L126="","",'04_Ресурсы'!L126)</x:f>
        <x:v>8.64</x:v>
      </x:c>
      <x:c r="H36" s="23" t="str">
        <x:v>АС.2 л.57; PDF 67</x:v>
      </x:c>
      <x:c r="I36" s="23" t="str">
        <x:v>По спецификации РД</x:v>
      </x:c>
      <x:c r="J36" s="23" t="str">
        <x:v>L1_МБ1_F1/2</x:v>
      </x:c>
    </x:row>
    <x:row r="37" ht="58" customHeight="1">
      <x:c r="A37" s="23" t="n">
        <x:v>32</x:v>
      </x:c>
      <x:c r="B37" s="23" t="str">
        <x:v>МБ2 / 1</x:v>
      </x:c>
      <x:c r="C37" s="23" t="str">
        <x:v>Швеллер 27П; С245; ГОСТ 8240-97; L=2830 мм</x:v>
      </x:c>
      <x:c r="D37" s="23" t="str">
        <x:v>шт</x:v>
      </x:c>
      <x:c r="E37" s="26" t="n">
        <x:f>'04_Ресурсы'!J127</x:f>
        <x:v>1</x:v>
      </x:c>
      <x:c r="F37" s="26" t="n">
        <x:f>IF('04_Ресурсы'!K127="","",'04_Ресурсы'!K127)</x:f>
        <x:v>78.39</x:v>
      </x:c>
      <x:c r="G37" s="26" t="n">
        <x:f>IF('04_Ресурсы'!L127="","",'04_Ресурсы'!L127)</x:f>
        <x:v>78.39</x:v>
      </x:c>
      <x:c r="H37" s="23" t="str">
        <x:v>АС.2 л.57; PDF 67</x:v>
      </x:c>
      <x:c r="I37" s="23" t="str">
        <x:v>По спецификации РД</x:v>
      </x:c>
      <x:c r="J37" s="23" t="str">
        <x:v>L1_МБ2_F1/1</x:v>
      </x:c>
    </x:row>
    <x:row r="38" ht="58" customHeight="1">
      <x:c r="A38" s="23" t="n">
        <x:v>33</x:v>
      </x:c>
      <x:c r="B38" s="23" t="str">
        <x:v>МБ2 / 2</x:v>
      </x:c>
      <x:c r="C38" s="23" t="str">
        <x:v>Уголок 100×7; С245; ГОСТ 8509-93; L=200 мм</x:v>
      </x:c>
      <x:c r="D38" s="23" t="str">
        <x:v>шт</x:v>
      </x:c>
      <x:c r="E38" s="26" t="n">
        <x:f>'04_Ресурсы'!J128</x:f>
        <x:v>2</x:v>
      </x:c>
      <x:c r="F38" s="26" t="n">
        <x:f>IF('04_Ресурсы'!K128="","",'04_Ресурсы'!K128)</x:f>
        <x:v>2.16</x:v>
      </x:c>
      <x:c r="G38" s="26" t="n">
        <x:f>IF('04_Ресурсы'!L128="","",'04_Ресурсы'!L128)</x:f>
        <x:v>4.32</x:v>
      </x:c>
      <x:c r="H38" s="23" t="str">
        <x:v>АС.2 л.57; PDF 67</x:v>
      </x:c>
      <x:c r="I38" s="23" t="str">
        <x:v>По спецификации РД</x:v>
      </x:c>
      <x:c r="J38" s="23" t="str">
        <x:v>L1_МБ2_F1/2</x:v>
      </x:c>
    </x:row>
    <x:row r="39" ht="58" customHeight="1">
      <x:c r="A39" s="23" t="n">
        <x:v>34</x:v>
      </x:c>
      <x:c r="B39" s="23" t="str">
        <x:v>ЛС1 / Изделие</x:v>
      </x:c>
      <x:c r="C39" s="23" t="str">
        <x:v>Ступень ЛС12; ГОСТ 8717-2016</x:v>
      </x:c>
      <x:c r="D39" s="23" t="str">
        <x:v>шт</x:v>
      </x:c>
      <x:c r="E39" s="26" t="n">
        <x:f>'04_Ресурсы'!J129</x:f>
        <x:v>22</x:v>
      </x:c>
      <x:c r="F39" s="26" t="n">
        <x:f>IF('04_Ресурсы'!K129="","",'04_Ресурсы'!K129)</x:f>
        <x:v>128</x:v>
      </x:c>
      <x:c r="G39" s="26" t="n">
        <x:f>IF('04_Ресурсы'!L129="","",'04_Ресурсы'!L129)</x:f>
        <x:v>2816</x:v>
      </x:c>
      <x:c r="H39" s="23" t="str">
        <x:v>АС.2 л.56; PDF 66</x:v>
      </x:c>
      <x:c r="I39" s="23" t="str">
        <x:v>Единица изделия; количество применяется по реестру экземпляров. Геометрия изделий габаритная.</x:v>
      </x:c>
      <x:c r="J39" s="23" t="str">
        <x:v>L1_ЛС1_F1/Изделие</x:v>
      </x:c>
    </x:row>
    <x:row r="40" ht="58" customHeight="1">
      <x:c r="A40" s="23" t="n">
        <x:v>35</x:v>
      </x:c>
      <x:c r="B40" s="23" t="str">
        <x:v>ОП1 / Изделие</x:v>
      </x:c>
      <x:c r="C40" s="23" t="str">
        <x:v>Опорная подушка ОП1; серия 1.069-1, вып.1</x:v>
      </x:c>
      <x:c r="D40" s="23" t="str">
        <x:v>шт</x:v>
      </x:c>
      <x:c r="E40" s="26" t="n">
        <x:f>'04_Ресурсы'!J130</x:f>
        <x:v>6</x:v>
      </x:c>
      <x:c r="F40" s="26" t="n">
        <x:f>IF('04_Ресурсы'!K130="","",'04_Ресурсы'!K130)</x:f>
        <x:v>33</x:v>
      </x:c>
      <x:c r="G40" s="26" t="n">
        <x:f>IF('04_Ресурсы'!L130="","",'04_Ресурсы'!L130)</x:f>
        <x:v>198</x:v>
      </x:c>
      <x:c r="H40" s="23" t="str">
        <x:v>АС.2 л.56; PDF 66</x:v>
      </x:c>
      <x:c r="I40" s="23" t="str">
        <x:v>Единица изделия; количество применяется по реестру экземпляров. Геометрия изделий габаритная.</x:v>
      </x:c>
      <x:c r="J40" s="23" t="str">
        <x:v>L1_ОП1_F1/Изделие</x:v>
      </x:c>
    </x:row>
    <x:row r="41" ht="58" customHeight="1">
      <x:c r="A41" s="23" t="n">
        <x:v>36</x:v>
      </x:c>
      <x:c r="B41" s="23" t="str">
        <x:v>ПР1 / Изделие</x:v>
      </x:c>
      <x:c r="C41" s="23" t="str">
        <x:v>Перемычка 3ПБ18-8; серия 1.038-1, вып.1</x:v>
      </x:c>
      <x:c r="D41" s="23" t="str">
        <x:v>шт</x:v>
      </x:c>
      <x:c r="E41" s="26" t="n">
        <x:f>'04_Ресурсы'!J131</x:f>
        <x:v>2</x:v>
      </x:c>
      <x:c r="F41" s="26" t="n">
        <x:f>IF('04_Ресурсы'!K131="","",'04_Ресурсы'!K131)</x:f>
        <x:v>119</x:v>
      </x:c>
      <x:c r="G41" s="26" t="n">
        <x:f>IF('04_Ресурсы'!L131="","",'04_Ресурсы'!L131)</x:f>
        <x:v>238</x:v>
      </x:c>
      <x:c r="H41" s="23" t="str">
        <x:v>АС.2 л.56; PDF 66</x:v>
      </x:c>
      <x:c r="I41" s="23" t="str">
        <x:v>Единица изделия; количество применяется по реестру экземпляров. Геометрия изделий габаритная.</x:v>
      </x:c>
      <x:c r="J41" s="23" t="str">
        <x:v>L1_ПР1_F1/Изделие</x:v>
      </x:c>
    </x:row>
    <x:row r="42" ht="58" customHeight="1">
      <x:c r="A42" s="23" t="n">
        <x:v>37</x:v>
      </x:c>
      <x:c r="B42" s="23" t="str">
        <x:v>ПР2 / Изделие</x:v>
      </x:c>
      <x:c r="C42" s="23" t="str">
        <x:v>Перемычка 5ПБ18-27; серия 1.038-1, вып.1</x:v>
      </x:c>
      <x:c r="D42" s="23" t="str">
        <x:v>шт</x:v>
      </x:c>
      <x:c r="E42" s="26" t="n">
        <x:f>'04_Ресурсы'!J132</x:f>
        <x:v>1</x:v>
      </x:c>
      <x:c r="F42" s="26" t="n">
        <x:f>IF('04_Ресурсы'!K132="","",'04_Ресурсы'!K132)</x:f>
        <x:v>250</x:v>
      </x:c>
      <x:c r="G42" s="26" t="n">
        <x:f>IF('04_Ресурсы'!L132="","",'04_Ресурсы'!L132)</x:f>
        <x:v>250</x:v>
      </x:c>
      <x:c r="H42" s="23" t="str">
        <x:v>АС.2 л.56; PDF 66</x:v>
      </x:c>
      <x:c r="I42" s="23" t="str">
        <x:v>Единица изделия; количество применяется по реестру экземпляров. Геометрия изделий габаритная.</x:v>
      </x:c>
      <x:c r="J42" s="23" t="str">
        <x:v>L1_ПР2_F1/Изделие</x:v>
      </x:c>
    </x:row>
    <x:row r="43" ht="58" customHeight="1">
      <x:c r="A43" s="23" t="n">
        <x:v>38</x:v>
      </x:c>
      <x:c r="B43" s="23" t="str">
        <x:v>Крепёж / БСР</x:v>
      </x:c>
      <x:c r="C43" s="23" t="str">
        <x:v>Болт БСР M16×150 (основание КС1)</x:v>
      </x:c>
      <x:c r="D43" s="23" t="str">
        <x:v>шт</x:v>
      </x:c>
      <x:c r="E43" s="26" t="n">
        <x:f>'04_Ресурсы'!J159</x:f>
        <x:v>4</x:v>
      </x:c>
      <x:c r="F43" s="26" t="str">
        <x:f>IF('04_Ресурсы'!K159="","",'04_Ресурсы'!K159)</x:f>
      </x:c>
      <x:c r="G43" s="26" t="str">
        <x:f>IF('04_Ресурсы'!L159="","",'04_Ресурсы'!L159)</x:f>
      </x:c>
      <x:c r="H43" s="23" t="str">
        <x:v>АС.2 л.56; PDF 66</x:v>
      </x:c>
      <x:c r="I43" s="23" t="str">
        <x:v>БСР отнесены к 1 этажу; остальные оставлены общими, без произвольной поэтажной разбивки.</x:v>
      </x:c>
      <x:c r="J43" s="23" t="str">
        <x:v>L1_Крепёж/БСР</x:v>
      </x:c>
    </x:row>
    <x:row r="44" ht="88" customHeight="1">
      <x:c r="A44" s="36" t="n">
        <x:v>39</x:v>
      </x:c>
      <x:c r="B44" s="36" t="str">
        <x:v>Кирпичные стены</x:v>
      </x:c>
      <x:c r="C44" s="36" t="str">
        <x:v>Кладка из кирпича КР-р-по 250×120×65/1НФ/100/2,0/35 на растворе М75 (в объёме кладки, не число кирпичей)</x:v>
      </x:c>
      <x:c r="D44" s="36" t="str">
        <x:v>м³</x:v>
      </x:c>
      <x:c r="E44" s="38" t="n">
        <x:f>'06_Контроль3D'!E15</x:f>
        <x:v>14.29925</x:v>
      </x:c>
      <x:c r="F44" s="38"/>
      <x:c r="G44" s="38"/>
      <x:c r="H44" s="36" t="str">
        <x:v>АС.2 л.55</x:v>
      </x:c>
      <x:c r="I44" s="36" t="str">
        <x:v>ПРЕДВАРИТЕЛЬНО по габаритам. Расход кирпича в штуках и раствора отдельно не задан, норматив не подставлялся.</x:v>
      </x:c>
      <x:c r="J44" s="36" t="str">
        <x:v>G_BR_F1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3cd757c83c794fb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7" hidden="0" customWidth="1"/>
    <x:col min="3" max="3" width="8" hidden="0" customWidth="1"/>
    <x:col min="4" max="4" width="16" hidden="0" customWidth="1"/>
    <x:col min="5" max="5" width="28" hidden="0" customWidth="1"/>
    <x:col min="6" max="6" width="34" hidden="0" customWidth="1"/>
    <x:col min="7" max="7" width="70" hidden="0" customWidth="1"/>
  </x:cols>
  <x:sheetData>
    <x:row r="1" ht="32" customHeight="1">
      <x:c r="A1" s="4" t="str">
        <x:v>Л-1 / ВОР — 1 ЭТАЖ → 2 ЭТАЖ</x:v>
      </x:c>
      <x:c r="B1" s="4"/>
      <x:c r="C1" s="4"/>
      <x:c r="D1" s="4"/>
      <x:c r="E1" s="4"/>
      <x:c r="F1" s="4"/>
      <x:c r="G1" s="4"/>
    </x:row>
    <x:row r="2" ht="23" customHeight="1">
      <x:c r="A2" s="10" t="str">
        <x:v>Количество с числом — по РД либо явно обозначенному расчёту. Пустое количество означает «требуется уточнение», не ноль. Материал и операция не суммируются как единая потребность.</x:v>
      </x:c>
      <x:c r="B2" s="10"/>
      <x:c r="C2" s="10"/>
      <x:c r="D2" s="10"/>
      <x:c r="E2" s="10"/>
      <x:c r="F2" s="10"/>
      <x:c r="G2" s="10"/>
    </x:row>
    <x:row r="3" ht="23" customHeight="1">
      <x:c r="A3" s="10"/>
      <x:c r="B3" s="10"/>
      <x:c r="C3" s="10"/>
      <x:c r="D3" s="10"/>
      <x:c r="E3" s="10"/>
      <x:c r="F3" s="10"/>
      <x:c r="G3" s="10"/>
    </x:row>
    <x:row r="5" ht="38" customHeight="1">
      <x:c r="A5" s="17" t="str">
        <x:v>№</x:v>
      </x:c>
      <x:c r="B5" s="17" t="str">
        <x:v>Наименование работ</x:v>
      </x:c>
      <x:c r="C5" s="17" t="str">
        <x:v>Ед.</x:v>
      </x:c>
      <x:c r="D5" s="17" t="str">
        <x:v>Количество</x:v>
      </x:c>
      <x:c r="E5" s="17" t="str">
        <x:v>Источник</x:v>
      </x:c>
      <x:c r="F5" s="17" t="str">
        <x:v>Статус объёма</x:v>
      </x:c>
      <x:c r="G5" s="17" t="str">
        <x:v>Расчёт / ограничение</x:v>
      </x:c>
    </x:row>
    <x:row r="6" ht="58" customHeight="1">
      <x:c r="A6" s="23" t="n">
        <x:v>1</x:v>
      </x:c>
      <x:c r="B6" s="23" t="str">
        <x:v>Бетонирование ЛП1: Тяжёлый бетон В25; ГОСТ 26633-2015</x:v>
      </x:c>
      <x:c r="C6" s="23" t="str">
        <x:v>м³</x:v>
      </x:c>
      <x:c r="D6" s="26" t="n">
        <x:f>'04_Ресурсы'!J60</x:f>
        <x:v>0.6</x:v>
      </x:c>
      <x:c r="E6" s="23" t="str">
        <x:v>АС.2 л.60; PDF 70</x:v>
      </x:c>
      <x:c r="F6" s="23" t="str">
        <x:v>По спецификации РД</x:v>
      </x:c>
      <x:c r="G6" s="23" t="str"/>
    </x:row>
    <x:row r="7" ht="58" customHeight="1">
      <x:c r="A7" s="23" t="n">
        <x:v>2</x:v>
      </x:c>
      <x:c r="B7" s="23" t="str">
        <x:v>Бетонирование МУ1: Тяжёлый бетон В25; ГОСТ 26633-2015</x:v>
      </x:c>
      <x:c r="C7" s="23" t="str">
        <x:v>м³</x:v>
      </x:c>
      <x:c r="D7" s="26" t="n">
        <x:f>'04_Ресурсы'!J96</x:f>
        <x:v>0.1</x:v>
      </x:c>
      <x:c r="E7" s="23" t="str">
        <x:v>АС.2 л.66; PDF 76</x:v>
      </x:c>
      <x:c r="F7" s="23" t="str">
        <x:v>По спецификации РД</x:v>
      </x:c>
      <x:c r="G7" s="23" t="str">
        <x:v>На один экземпляр. Два экземпляра по заголовку л.66 и планам л.55, несмотря на 1 шт в л.56.</x:v>
      </x:c>
    </x:row>
    <x:row r="8" ht="58" customHeight="1">
      <x:c r="A8" s="23" t="n">
        <x:v>3</x:v>
      </x:c>
      <x:c r="B8" s="23" t="str">
        <x:v>Бетонирование МУ2: Тяжёлый бетон В25; ГОСТ 26633-2015</x:v>
      </x:c>
      <x:c r="C8" s="23" t="str">
        <x:v>м³</x:v>
      </x:c>
      <x:c r="D8" s="26" t="n">
        <x:f>'04_Ресурсы'!J101</x:f>
        <x:v>0.95</x:v>
      </x:c>
      <x:c r="E8" s="23" t="str">
        <x:v>АС.2 л.67; PDF 77</x:v>
      </x:c>
      <x:c r="F8" s="23" t="str">
        <x:v>По спецификации РД</x:v>
      </x:c>
      <x:c r="G8" s="23" t="str"/>
    </x:row>
    <x:row r="9" ht="58" customHeight="1">
      <x:c r="A9" s="23" t="n">
        <x:v>4</x:v>
      </x:c>
      <x:c r="B9" s="23" t="str">
        <x:v>Изготовление и установка арматуры, включая детали каркасов и выпуски</x:v>
      </x:c>
      <x:c r="C9" s="23" t="str">
        <x:v>кг</x:v>
      </x:c>
      <x:c r="D9" s="26" t="n">
        <x:f>'04_Ресурсы'!L49+'04_Ресурсы'!L50+'04_Ресурсы'!L51+'04_Ресурсы'!L52+'04_Ресурсы'!L53+'04_Ресурсы'!L54+'04_Ресурсы'!L55+'04_Ресурсы'!L56+'04_Ресурсы'!L57+'04_Ресурсы'!L58+'04_Ресурсы'!L92+'04_Ресурсы'!L93+'04_Ресурсы'!L94+'04_Ресурсы'!L95+'04_Ресурсы'!L97+'04_Ресурсы'!L98+'04_Ресурсы'!L99+'04_Ресурсы'!L100</x:f>
        <x:v>270.0892</x:v>
      </x:c>
      <x:c r="E9" s="23" t="str">
        <x:v>Детальные спецификации этажа; см. СП</x:v>
      </x:c>
      <x:c r="F9" s="23" t="str">
        <x:v>Расчёт по единичным массам РД</x:v>
      </x:c>
      <x:c r="G9" s="23" t="str">
        <x:v>Массы спорных позиций не исправлены нормативными аналогами. Выпуски Фп-1 учтены один раз.</x:v>
      </x:c>
    </x:row>
    <x:row r="10" ht="58" customHeight="1">
      <x:c r="A10" s="23" t="n">
        <x:v>5</x:v>
      </x:c>
      <x:c r="B10" s="23" t="str">
        <x:v>Устройство несъёмной опалубки из профлиста Н75-750-0,8</x:v>
      </x:c>
      <x:c r="C10" s="23" t="str">
        <x:v>м²</x:v>
      </x:c>
      <x:c r="D10" s="26" t="n">
        <x:f>'04_Ресурсы'!J59</x:f>
        <x:v>4</x:v>
      </x:c>
      <x:c r="E10" s="23" t="str">
        <x:v>АС.2 л.60–63</x:v>
      </x:c>
      <x:c r="F10" s="23" t="str">
        <x:v>По спецификации РД</x:v>
      </x:c>
      <x:c r="G10" s="23" t="str">
        <x:v>Профлист крепить к балкам через одну волну; число креплений в РД не дано.</x:v>
      </x:c>
    </x:row>
    <x:row r="11" ht="58" customHeight="1">
      <x:c r="A11" s="23" t="n">
        <x:v>6</x:v>
      </x:c>
      <x:c r="B11" s="23" t="str">
        <x:v>Изготовление металлоконструкций: балки и косоуры</x:v>
      </x:c>
      <x:c r="C11" s="23" t="str">
        <x:v>т</x:v>
      </x:c>
      <x:c r="D11" s="26" t="n">
        <x:f>('04_Ресурсы'!L118+'04_Ресурсы'!L119+'04_Ресурсы'!L120+'04_Ресурсы'!L121+'04_Ресурсы'!L122+'04_Ресурсы'!L123+'04_Ресурсы'!L124+'04_Ресурсы'!L125+'04_Ресурсы'!L126+'04_Ресурсы'!L127+'04_Ресурсы'!L128)/1000</x:f>
        <x:v>0.6571300000000001</x:v>
      </x:c>
      <x:c r="E11" s="23" t="str">
        <x:v>АС.2 л.57–59</x:v>
      </x:c>
      <x:c r="F11" s="23" t="str">
        <x:v>Масса по таблицам РД — к согласованию</x:v>
      </x:c>
      <x:c r="G11" s="23" t="str">
        <x:v>Заводские длины/массы КС1 противоречивы. Не заказывать по геометрии 3D.</x:v>
      </x:c>
    </x:row>
    <x:row r="12" ht="58" customHeight="1">
      <x:c r="A12" s="23" t="n">
        <x:v>7</x:v>
      </x:c>
      <x:c r="B12" s="23" t="str">
        <x:v>Монтаж металлоконструкций: балки и косоуры</x:v>
      </x:c>
      <x:c r="C12" s="23" t="str">
        <x:v>т</x:v>
      </x:c>
      <x:c r="D12" s="26" t="n">
        <x:f>('04_Ресурсы'!L118+'04_Ресурсы'!L119+'04_Ресурсы'!L120+'04_Ресурсы'!L121+'04_Ресурсы'!L122+'04_Ресурсы'!L123+'04_Ресурсы'!L124+'04_Ресурсы'!L125+'04_Ресурсы'!L126+'04_Ресурсы'!L127+'04_Ресурсы'!L128)/1000</x:f>
        <x:v>0.6571300000000001</x:v>
      </x:c>
      <x:c r="E12" s="23" t="str">
        <x:v>АС.2 л.55–59</x:v>
      </x:c>
      <x:c r="F12" s="23" t="str">
        <x:v>Масса по таблицам РД — к согласованию</x:v>
      </x:c>
      <x:c r="G12" s="23" t="str">
        <x:v>Отдельная операция, не дополнительный объём металла для закупки.</x:v>
      </x:c>
    </x:row>
    <x:row r="13" ht="58" customHeight="1">
      <x:c r="A13" s="23" t="n">
        <x:v>8</x:v>
      </x:c>
      <x:c r="B13" s="23" t="str">
        <x:v>Монтаж сборных ступеней ЛС12</x:v>
      </x:c>
      <x:c r="C13" s="23" t="str">
        <x:v>шт</x:v>
      </x:c>
      <x:c r="D13" s="26" t="n">
        <x:f>'04_Ресурсы'!J129</x:f>
        <x:v>22</x:v>
      </x:c>
      <x:c r="E13" s="23" t="str">
        <x:v>АС.2 л.55,56</x:v>
      </x:c>
      <x:c r="F13" s="23" t="str">
        <x:v>РД 70 шт; этажная разбивка расчётная</x:v>
      </x:c>
      <x:c r="G13" s="23" t="str"/>
    </x:row>
    <x:row r="14" ht="58" customHeight="1">
      <x:c r="A14" s="23" t="n">
        <x:v>9</x:v>
      </x:c>
      <x:c r="B14" s="23" t="str">
        <x:v>Устройство / монтаж опорных подушек ОП1</x:v>
      </x:c>
      <x:c r="C14" s="23" t="str">
        <x:v>шт</x:v>
      </x:c>
      <x:c r="D14" s="26" t="n">
        <x:f>'04_Ресурсы'!J130</x:f>
        <x:v>6</x:v>
      </x:c>
      <x:c r="E14" s="23" t="str">
        <x:v>АС.2 л.55,56</x:v>
      </x:c>
      <x:c r="F14" s="23" t="str">
        <x:v>Количество РД; разбивка по планам</x:v>
      </x:c>
      <x:c r="G14" s="23" t="str"/>
    </x:row>
    <x:row r="15" ht="58" customHeight="1">
      <x:c r="A15" s="23" t="n">
        <x:v>10</x:v>
      </x:c>
      <x:c r="B15" s="23" t="str">
        <x:v>Монтаж перемычек ПР1 — 3ПБ18-8</x:v>
      </x:c>
      <x:c r="C15" s="23" t="str">
        <x:v>шт</x:v>
      </x:c>
      <x:c r="D15" s="26" t="n">
        <x:f>'04_Ресурсы'!J131</x:f>
        <x:v>2</x:v>
      </x:c>
      <x:c r="E15" s="23" t="str">
        <x:v>АС.2 л.55,56</x:v>
      </x:c>
      <x:c r="F15" s="23" t="str">
        <x:v>Количество РД; разбивка по планам</x:v>
      </x:c>
      <x:c r="G15" s="23" t="str"/>
    </x:row>
    <x:row r="16" ht="58" customHeight="1">
      <x:c r="A16" s="23" t="n">
        <x:v>11</x:v>
      </x:c>
      <x:c r="B16" s="23" t="str">
        <x:v>Монтаж перемычки ПР2 — 5ПБ18-27</x:v>
      </x:c>
      <x:c r="C16" s="23" t="str">
        <x:v>шт</x:v>
      </x:c>
      <x:c r="D16" s="26" t="n">
        <x:f>'04_Ресурсы'!J132</x:f>
        <x:v>1</x:v>
      </x:c>
      <x:c r="E16" s="23" t="str">
        <x:v>АС.2 л.55,56</x:v>
      </x:c>
      <x:c r="F16" s="23" t="str">
        <x:v>Количество РД; разбивка по планам</x:v>
      </x:c>
      <x:c r="G16" s="23" t="str">
        <x:v>Для ПР2/ПР3 уточнить привязку и опирание</x:v>
      </x:c>
    </x:row>
    <x:row r="17" ht="58" customHeight="1">
      <x:c r="A17" s="36" t="n">
        <x:v>12</x:v>
      </x:c>
      <x:c r="B17" s="36" t="str">
        <x:v>Возведение кирпичной кладки на растворе М75</x:v>
      </x:c>
      <x:c r="C17" s="36" t="str">
        <x:v>м³</x:v>
      </x:c>
      <x:c r="D17" s="38" t="n">
        <x:f>'06_Контроль3D'!E15</x:f>
        <x:v>14.29925</x:v>
      </x:c>
      <x:c r="E17" s="36" t="str">
        <x:v>АС.2 л.55,69; габаритный контроль</x:v>
      </x:c>
      <x:c r="F17" s="36" t="str">
        <x:v>ПРЕДВАРИТЕЛЬНО / не подтверждено</x:v>
      </x:c>
      <x:c r="G17" s="36" t="str">
        <x:v>С вычетом дверей; без вычетов гнёзд ОП и неувязанных перемычек. Уточнить перед КС / закупкой.</x:v>
      </x:c>
    </x:row>
    <x:row r="18" ht="58" customHeight="1">
      <x:c r="A18" s="36" t="n">
        <x:v>13</x:v>
      </x:c>
      <x:c r="B18" s="36" t="str">
        <x:v>Снятие отделки существующих стен перед кладкой</x:v>
      </x:c>
      <x:c r="C18" s="36" t="str">
        <x:v>м²</x:v>
      </x:c>
      <x:c r="D18" s="38"/>
      <x:c r="E18" s="36" t="str">
        <x:v>АС.2 л.55–58</x:v>
      </x:c>
      <x:c r="F18" s="36" t="str">
        <x:v>ТРЕБУЕТСЯ УТОЧНЕНИЕ</x:v>
      </x:c>
      <x:c r="G18" s="36" t="str">
        <x:v>Л.55 п.11, площадь контакта не выделена.</x:v>
      </x:c>
    </x:row>
    <x:row r="19" ht="58" customHeight="1">
      <x:c r="A19" s="36" t="n">
        <x:v>14</x:v>
      </x:c>
      <x:c r="B19" s="36" t="str">
        <x:v>Обрезка / демонтаж существующего перекрытия в зоне Л-1</x:v>
      </x:c>
      <x:c r="C19" s="36" t="str">
        <x:v>м²</x:v>
      </x:c>
      <x:c r="D19" s="38"/>
      <x:c r="E19" s="36" t="str">
        <x:v>АС.2 л.55–58</x:v>
      </x:c>
      <x:c r="F19" s="36" t="str">
        <x:v>ТРЕБУЕТСЯ УТОЧНЕНИЕ</x:v>
      </x:c>
      <x:c r="G19" s="36" t="str">
        <x:v>Площади вычетов базовой 3D не являются согласованным ВОР демонтажа.</x:v>
      </x:c>
    </x:row>
    <x:row r="20" ht="58" customHeight="1">
      <x:c r="A20" s="36" t="n">
        <x:v>15</x:v>
      </x:c>
      <x:c r="B20" s="36" t="str">
        <x:v>Установка временных опор и подмостей</x:v>
      </x:c>
      <x:c r="C20" s="36" t="str">
        <x:v>м²</x:v>
      </x:c>
      <x:c r="D20" s="38"/>
      <x:c r="E20" s="36" t="str">
        <x:v>АС.2 л.55–58</x:v>
      </x:c>
      <x:c r="F20" s="36" t="str">
        <x:v>ТРЕБУЕТСЯ УТОЧНЕНИЕ</x:v>
      </x:c>
      <x:c r="G20" s="36" t="str">
        <x:v>Состав и площадь — по ППР, не назначались.</x:v>
      </x:c>
    </x:row>
    <x:row r="21" ht="58" customHeight="1">
      <x:c r="A21" s="36" t="n">
        <x:v>16</x:v>
      </x:c>
      <x:c r="B21" s="36" t="str">
        <x:v>Грунтование и окраска металлоконструкций эмалью ПФ-115 за 2 раза</x:v>
      </x:c>
      <x:c r="C21" s="36" t="str">
        <x:v>м²</x:v>
      </x:c>
      <x:c r="D21" s="38"/>
      <x:c r="E21" s="36" t="str">
        <x:v>АС.2 л.55–58</x:v>
      </x:c>
      <x:c r="F21" s="36" t="str">
        <x:v>ТРЕБУЕТСЯ УТОЧНЕНИЕ</x:v>
      </x:c>
      <x:c r="G21" s="36" t="str">
        <x:v>Не подменять развёрнутую площадь металла площадью короба огнезащиты.</x:v>
      </x:c>
    </x:row>
    <x:row r="22" ht="58" customHeight="1">
      <x:c r="A22" s="36" t="n">
        <x:v>17</x:v>
      </x:c>
      <x:c r="B22" s="36" t="str">
        <x:v>Ограждения маршей и площадок / поручни</x:v>
      </x:c>
      <x:c r="C22" s="36" t="str">
        <x:v>м</x:v>
      </x:c>
      <x:c r="D22" s="38"/>
      <x:c r="E22" s="36" t="str">
        <x:v>Листы 47–69</x:v>
      </x:c>
      <x:c r="F22" s="36" t="str">
        <x:v>Не специфицировано в диапазоне</x:v>
      </x:c>
      <x:c r="G22" s="36" t="str">
        <x:v>Не назначать длину и марку без профильных чертежей ограждений.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1c8beae64a93476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47" hidden="0" customWidth="1"/>
    <x:col min="4" max="4" width="7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  <x:col min="9" max="9" width="60" hidden="0" customWidth="1"/>
    <x:col min="10" max="10" width="32" hidden="0" customWidth="1"/>
  </x:cols>
  <x:sheetData>
    <x:row r="1" ht="32" customHeight="1">
      <x:c r="A1" s="4" t="str">
        <x:v>Л-1 / СПЕЦИФИКАЦИЯ — 2 ЭТАЖ → 3 ЭТАЖ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10" t="str">
        <x:v>Основные материалы без запаса и стоимости. Арматурные каркасы раскрыты на стержни; массы взяты из РД и проверены арифметически. Жёлтые строки — предварительные или требующие согласования.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8" customHeight="1">
      <x:c r="A5" s="17" t="str">
        <x:v>№</x:v>
      </x:c>
      <x:c r="B5" s="17" t="str">
        <x:v>Конструкция / позиция</x:v>
      </x:c>
      <x:c r="C5" s="17" t="str">
        <x:v>Материал / изделие</x:v>
      </x:c>
      <x:c r="D5" s="17" t="str">
        <x:v>Ед.</x:v>
      </x:c>
      <x:c r="E5" s="17" t="str">
        <x:v>Количество</x:v>
      </x:c>
      <x:c r="F5" s="17" t="str">
        <x:v>Масса ед., кг</x:v>
      </x:c>
      <x:c r="G5" s="17" t="str">
        <x:v>Масса всего, кг</x:v>
      </x:c>
      <x:c r="H5" s="17" t="str">
        <x:v>Источник</x:v>
      </x:c>
      <x:c r="I5" s="17" t="str">
        <x:v>Основание / статус</x:v>
      </x:c>
      <x:c r="J5" s="17" t="str">
        <x:v>Связь / ID</x:v>
      </x:c>
    </x:row>
    <x:row r="6" ht="58" customHeight="1">
      <x:c r="A6" s="23" t="n">
        <x:v>1</x:v>
      </x:c>
      <x:c r="B6" s="23" t="str">
        <x:v>ЛП2 / 1</x:v>
      </x:c>
      <x:c r="C6" s="23" t="str">
        <x:v>∅10 А500С; L=2550 мм; ГОСТ 34028-2016</x:v>
      </x:c>
      <x:c r="D6" s="23" t="str">
        <x:v>шт</x:v>
      </x:c>
      <x:c r="E6" s="26" t="n">
        <x:f>'04_Ресурсы'!J61</x:f>
        <x:v>10</x:v>
      </x:c>
      <x:c r="F6" s="26" t="n">
        <x:f>IF('04_Ресурсы'!K61="","",'04_Ресурсы'!K61)</x:f>
        <x:v>1.57</x:v>
      </x:c>
      <x:c r="G6" s="26" t="n">
        <x:f>IF('04_Ресурсы'!L61="","",'04_Ресурсы'!L61)</x:f>
        <x:v>15.700000000000001</x:v>
      </x:c>
      <x:c r="H6" s="23" t="str">
        <x:v>АС.2 л.61; PDF 71</x:v>
      </x:c>
      <x:c r="I6" s="23" t="str">
        <x:v>По спецификации РД</x:v>
      </x:c>
      <x:c r="J6" s="23" t="str">
        <x:v>L1_ЛП2_F2/1</x:v>
      </x:c>
    </x:row>
    <x:row r="7" ht="58" customHeight="1">
      <x:c r="A7" s="23" t="n">
        <x:v>2</x:v>
      </x:c>
      <x:c r="B7" s="23" t="str">
        <x:v>ЛП2 / 2</x:v>
      </x:c>
      <x:c r="C7" s="23" t="str">
        <x:v>∅10 А500С; L=1180 мм; ГОСТ 34028-2016</x:v>
      </x:c>
      <x:c r="D7" s="23" t="str">
        <x:v>шт</x:v>
      </x:c>
      <x:c r="E7" s="26" t="n">
        <x:f>'04_Ресурсы'!J62</x:f>
        <x:v>1</x:v>
      </x:c>
      <x:c r="F7" s="26" t="n">
        <x:f>IF('04_Ресурсы'!K62="","",'04_Ресурсы'!K62)</x:f>
        <x:v>0.73</x:v>
      </x:c>
      <x:c r="G7" s="26" t="n">
        <x:f>IF('04_Ресурсы'!L62="","",'04_Ресурсы'!L62)</x:f>
        <x:v>0.73</x:v>
      </x:c>
      <x:c r="H7" s="23" t="str">
        <x:v>АС.2 л.61; PDF 71</x:v>
      </x:c>
      <x:c r="I7" s="23" t="str">
        <x:v>По спецификации РД</x:v>
      </x:c>
      <x:c r="J7" s="23" t="str">
        <x:v>L1_ЛП2_F2/2</x:v>
      </x:c>
    </x:row>
    <x:row r="8" ht="58" customHeight="1">
      <x:c r="A8" s="23" t="n">
        <x:v>3</x:v>
      </x:c>
      <x:c r="B8" s="23" t="str">
        <x:v>ЛП2 / 5</x:v>
      </x:c>
      <x:c r="C8" s="23" t="str">
        <x:v>∅10 А500С; L=1930 мм; ГОСТ 34028-2016</x:v>
      </x:c>
      <x:c r="D8" s="23" t="str">
        <x:v>шт</x:v>
      </x:c>
      <x:c r="E8" s="26" t="n">
        <x:f>'04_Ресурсы'!J63</x:f>
        <x:v>7</x:v>
      </x:c>
      <x:c r="F8" s="26" t="n">
        <x:f>IF('04_Ресурсы'!K63="","",'04_Ресурсы'!K63)</x:f>
        <x:v>1.19</x:v>
      </x:c>
      <x:c r="G8" s="26" t="n">
        <x:f>IF('04_Ресурсы'!L63="","",'04_Ресурсы'!L63)</x:f>
        <x:v>8.33</x:v>
      </x:c>
      <x:c r="H8" s="23" t="str">
        <x:v>АС.2 л.65; PDF 75</x:v>
      </x:c>
      <x:c r="I8" s="23" t="str">
        <x:v>Детали каркаса раскрыты, сборочная масса отдельно не суммируется.</x:v>
      </x:c>
      <x:c r="J8" s="23" t="str">
        <x:v>L1_ЛП2_F2/Кр-3/5</x:v>
      </x:c>
    </x:row>
    <x:row r="9" ht="58" customHeight="1">
      <x:c r="A9" s="23" t="n">
        <x:v>4</x:v>
      </x:c>
      <x:c r="B9" s="23" t="str">
        <x:v>ЛП2 / 6</x:v>
      </x:c>
      <x:c r="C9" s="23" t="str">
        <x:v>∅10 А500С; L=1750 мм; ГОСТ 34028-2016</x:v>
      </x:c>
      <x:c r="D9" s="23" t="str">
        <x:v>шт</x:v>
      </x:c>
      <x:c r="E9" s="26" t="n">
        <x:f>'04_Ресурсы'!J64</x:f>
        <x:v>7</x:v>
      </x:c>
      <x:c r="F9" s="26" t="n">
        <x:f>IF('04_Ресурсы'!K64="","",'04_Ресурсы'!K64)</x:f>
        <x:v>1.08</x:v>
      </x:c>
      <x:c r="G9" s="26" t="n">
        <x:f>IF('04_Ресурсы'!L64="","",'04_Ресурсы'!L64)</x:f>
        <x:v>7.5600000000000005</x:v>
      </x:c>
      <x:c r="H9" s="23" t="str">
        <x:v>АС.2 л.65; PDF 75</x:v>
      </x:c>
      <x:c r="I9" s="23" t="str">
        <x:v>Детали каркаса раскрыты, сборочная масса отдельно не суммируется.</x:v>
      </x:c>
      <x:c r="J9" s="23" t="str">
        <x:v>L1_ЛП2_F2/Кр-3/6</x:v>
      </x:c>
    </x:row>
    <x:row r="10" ht="58" customHeight="1">
      <x:c r="A10" s="23" t="n">
        <x:v>5</x:v>
      </x:c>
      <x:c r="B10" s="23" t="str">
        <x:v>ЛП2 / 3</x:v>
      </x:c>
      <x:c r="C10" s="23" t="str">
        <x:v>∅10 А500С; L=130 мм; ГОСТ 34028-2016</x:v>
      </x:c>
      <x:c r="D10" s="23" t="str">
        <x:v>шт</x:v>
      </x:c>
      <x:c r="E10" s="26" t="n">
        <x:f>'04_Ресурсы'!J65</x:f>
        <x:v>70</x:v>
      </x:c>
      <x:c r="F10" s="26" t="n">
        <x:f>IF('04_Ресурсы'!K65="","",'04_Ресурсы'!K65)</x:f>
        <x:v>0.08</x:v>
      </x:c>
      <x:c r="G10" s="26" t="n">
        <x:f>IF('04_Ресурсы'!L65="","",'04_Ресурсы'!L65)</x:f>
        <x:v>5.6000000000000005</x:v>
      </x:c>
      <x:c r="H10" s="23" t="str">
        <x:v>АС.2 л.65; PDF 75</x:v>
      </x:c>
      <x:c r="I10" s="23" t="str">
        <x:v>Детали каркаса раскрыты, сборочная масса отдельно не суммируется.</x:v>
      </x:c>
      <x:c r="J10" s="23" t="str">
        <x:v>L1_ЛП2_F2/Кр-3/3</x:v>
      </x:c>
    </x:row>
    <x:row r="11" ht="58" customHeight="1">
      <x:c r="A11" s="23" t="n">
        <x:v>6</x:v>
      </x:c>
      <x:c r="B11" s="23" t="str">
        <x:v>ЛП2 / 7</x:v>
      </x:c>
      <x:c r="C11" s="23" t="str">
        <x:v>∅10 А500С; L=1830 мм; ГОСТ 34028-2016</x:v>
      </x:c>
      <x:c r="D11" s="23" t="str">
        <x:v>шт</x:v>
      </x:c>
      <x:c r="E11" s="26" t="n">
        <x:f>'04_Ресурсы'!J66</x:f>
        <x:v>7</x:v>
      </x:c>
      <x:c r="F11" s="26" t="n">
        <x:f>IF('04_Ресурсы'!K66="","",'04_Ресурсы'!K66)</x:f>
        <x:v>1.13</x:v>
      </x:c>
      <x:c r="G11" s="26" t="n">
        <x:f>IF('04_Ресурсы'!L66="","",'04_Ресурсы'!L66)</x:f>
        <x:v>7.909999999999999</x:v>
      </x:c>
      <x:c r="H11" s="23" t="str">
        <x:v>АС.2 л.65; PDF 75</x:v>
      </x:c>
      <x:c r="I11" s="23" t="str">
        <x:v>Детали каркаса раскрыты, сборочная масса отдельно не суммируется.</x:v>
      </x:c>
      <x:c r="J11" s="23" t="str">
        <x:v>L1_ЛП2_F2/Кр-4/7</x:v>
      </x:c>
    </x:row>
    <x:row r="12" ht="58" customHeight="1">
      <x:c r="A12" s="23" t="n">
        <x:v>7</x:v>
      </x:c>
      <x:c r="B12" s="23" t="str">
        <x:v>ЛП2 / 6</x:v>
      </x:c>
      <x:c r="C12" s="23" t="str">
        <x:v>∅10 А500С; L=1750 мм; ГОСТ 34028-2016</x:v>
      </x:c>
      <x:c r="D12" s="23" t="str">
        <x:v>шт</x:v>
      </x:c>
      <x:c r="E12" s="26" t="n">
        <x:f>'04_Ресурсы'!J67</x:f>
        <x:v>7</x:v>
      </x:c>
      <x:c r="F12" s="26" t="n">
        <x:f>IF('04_Ресурсы'!K67="","",'04_Ресурсы'!K67)</x:f>
        <x:v>1.08</x:v>
      </x:c>
      <x:c r="G12" s="26" t="n">
        <x:f>IF('04_Ресурсы'!L67="","",'04_Ресурсы'!L67)</x:f>
        <x:v>7.5600000000000005</x:v>
      </x:c>
      <x:c r="H12" s="23" t="str">
        <x:v>АС.2 л.65; PDF 75</x:v>
      </x:c>
      <x:c r="I12" s="23" t="str">
        <x:v>Детали каркаса раскрыты, сборочная масса отдельно не суммируется.</x:v>
      </x:c>
      <x:c r="J12" s="23" t="str">
        <x:v>L1_ЛП2_F2/Кр-4/6</x:v>
      </x:c>
    </x:row>
    <x:row r="13" ht="58" customHeight="1">
      <x:c r="A13" s="23" t="n">
        <x:v>8</x:v>
      </x:c>
      <x:c r="B13" s="23" t="str">
        <x:v>ЛП2 / 3</x:v>
      </x:c>
      <x:c r="C13" s="23" t="str">
        <x:v>∅10 А500С; L=130 мм; ГОСТ 34028-2016</x:v>
      </x:c>
      <x:c r="D13" s="23" t="str">
        <x:v>шт</x:v>
      </x:c>
      <x:c r="E13" s="26" t="n">
        <x:f>'04_Ресурсы'!J68</x:f>
        <x:v>63</x:v>
      </x:c>
      <x:c r="F13" s="26" t="n">
        <x:f>IF('04_Ресурсы'!K68="","",'04_Ресурсы'!K68)</x:f>
        <x:v>0.08</x:v>
      </x:c>
      <x:c r="G13" s="26" t="n">
        <x:f>IF('04_Ресурсы'!L68="","",'04_Ресурсы'!L68)</x:f>
        <x:v>5.04</x:v>
      </x:c>
      <x:c r="H13" s="23" t="str">
        <x:v>АС.2 л.65; PDF 75</x:v>
      </x:c>
      <x:c r="I13" s="23" t="str">
        <x:v>Детали каркаса раскрыты, сборочная масса отдельно не суммируется.</x:v>
      </x:c>
      <x:c r="J13" s="23" t="str">
        <x:v>L1_ЛП2_F2/Кр-4/3</x:v>
      </x:c>
    </x:row>
    <x:row r="14" ht="58" customHeight="1">
      <x:c r="A14" s="23" t="n">
        <x:v>9</x:v>
      </x:c>
      <x:c r="B14" s="23" t="str">
        <x:v>ЛП2 / П-1</x:v>
      </x:c>
      <x:c r="C14" s="23" t="str">
        <x:v>∅10 А500С; L=1300 мм; ГОСТ 34028-2016</x:v>
      </x:c>
      <x:c r="D14" s="23" t="str">
        <x:v>шт</x:v>
      </x:c>
      <x:c r="E14" s="26" t="n">
        <x:f>'04_Ресурсы'!J69</x:f>
        <x:v>7</x:v>
      </x:c>
      <x:c r="F14" s="26" t="n">
        <x:f>IF('04_Ресурсы'!K69="","",'04_Ресурсы'!K69)</x:f>
        <x:v>0.8</x:v>
      </x:c>
      <x:c r="G14" s="26" t="n">
        <x:f>IF('04_Ресурсы'!L69="","",'04_Ресурсы'!L69)</x:f>
        <x:v>5.6000000000000005</x:v>
      </x:c>
      <x:c r="H14" s="23" t="str">
        <x:v>АС.2 л.61; PDF 71</x:v>
      </x:c>
      <x:c r="I14" s="23" t="str">
        <x:v>По спецификации РД</x:v>
      </x:c>
      <x:c r="J14" s="23" t="str">
        <x:v>L1_ЛП2_F2/П-1</x:v>
      </x:c>
    </x:row>
    <x:row r="15" ht="58" customHeight="1">
      <x:c r="A15" s="23" t="n">
        <x:v>10</x:v>
      </x:c>
      <x:c r="B15" s="23" t="str">
        <x:v>ЛП2 / П-2</x:v>
      </x:c>
      <x:c r="C15" s="23" t="str">
        <x:v>∅10 А500С; L=1080 мм; ГОСТ 34028-2016</x:v>
      </x:c>
      <x:c r="D15" s="23" t="str">
        <x:v>шт</x:v>
      </x:c>
      <x:c r="E15" s="26" t="n">
        <x:f>'04_Ресурсы'!J70</x:f>
        <x:v>7</x:v>
      </x:c>
      <x:c r="F15" s="26" t="n">
        <x:f>IF('04_Ресурсы'!K70="","",'04_Ресурсы'!K70)</x:f>
        <x:v>0.67</x:v>
      </x:c>
      <x:c r="G15" s="26" t="n">
        <x:f>IF('04_Ресурсы'!L70="","",'04_Ресурсы'!L70)</x:f>
        <x:v>4.69</x:v>
      </x:c>
      <x:c r="H15" s="23" t="str">
        <x:v>АС.2 л.61; PDF 71</x:v>
      </x:c>
      <x:c r="I15" s="23" t="str">
        <x:v>По спецификации РД</x:v>
      </x:c>
      <x:c r="J15" s="23" t="str">
        <x:v>L1_ЛП2_F2/П-2</x:v>
      </x:c>
    </x:row>
    <x:row r="16" ht="58" customHeight="1">
      <x:c r="A16" s="23" t="n">
        <x:v>11</x:v>
      </x:c>
      <x:c r="B16" s="23" t="str">
        <x:v>ЛП2 / Профлист</x:v>
      </x:c>
      <x:c r="C16" s="23" t="str">
        <x:v>Профлист Н75-750-0,8; ГОСТ 24045-2016</x:v>
      </x:c>
      <x:c r="D16" s="23" t="str">
        <x:v>м²</x:v>
      </x:c>
      <x:c r="E16" s="26" t="n">
        <x:f>'04_Ресурсы'!J71</x:f>
        <x:v>6.6</x:v>
      </x:c>
      <x:c r="F16" s="26" t="str">
        <x:f>IF('04_Ресурсы'!K71="","",'04_Ресурсы'!K71)</x:f>
      </x:c>
      <x:c r="G16" s="26" t="str">
        <x:f>IF('04_Ресурсы'!L71="","",'04_Ресурсы'!L71)</x:f>
      </x:c>
      <x:c r="H16" s="23" t="str">
        <x:v>АС.2 л.61; PDF 71</x:v>
      </x:c>
      <x:c r="I16" s="23" t="str">
        <x:v>Количество по РД; не пересчитывалось по горизонтальной проекции площадки.</x:v>
      </x:c>
      <x:c r="J16" s="23" t="str">
        <x:v>L1_ЛП2_F2/Профлист</x:v>
      </x:c>
    </x:row>
    <x:row r="17" ht="58" customHeight="1">
      <x:c r="A17" s="23" t="n">
        <x:v>12</x:v>
      </x:c>
      <x:c r="B17" s="23" t="str">
        <x:v>ЛП2 / Бетон</x:v>
      </x:c>
      <x:c r="C17" s="23" t="str">
        <x:v>Тяжёлый бетон В25; ГОСТ 26633-2015</x:v>
      </x:c>
      <x:c r="D17" s="23" t="str">
        <x:v>м³</x:v>
      </x:c>
      <x:c r="E17" s="26" t="n">
        <x:f>'04_Ресурсы'!J72</x:f>
        <x:v>0.9</x:v>
      </x:c>
      <x:c r="F17" s="26" t="str">
        <x:f>IF('04_Ресурсы'!K72="","",'04_Ресурсы'!K72)</x:f>
      </x:c>
      <x:c r="G17" s="26" t="str">
        <x:f>IF('04_Ресурсы'!L72="","",'04_Ресурсы'!L72)</x:f>
      </x:c>
      <x:c r="H17" s="23" t="str">
        <x:v>АС.2 л.61; PDF 71</x:v>
      </x:c>
      <x:c r="I17" s="23" t="str">
        <x:v>По спецификации РД</x:v>
      </x:c>
      <x:c r="J17" s="23" t="str">
        <x:v>L1_ЛП2_F2/Бетон</x:v>
      </x:c>
    </x:row>
    <x:row r="18" ht="58" customHeight="1">
      <x:c r="A18" s="23" t="n">
        <x:v>13</x:v>
      </x:c>
      <x:c r="B18" s="23" t="str">
        <x:v>МУ1 / 1</x:v>
      </x:c>
      <x:c r="C18" s="23" t="str">
        <x:v>∅16 А500С; L=2550 мм; ГОСТ 34028-2016</x:v>
      </x:c>
      <x:c r="D18" s="23" t="str">
        <x:v>шт</x:v>
      </x:c>
      <x:c r="E18" s="26" t="n">
        <x:f>'04_Ресурсы'!J102</x:f>
        <x:v>4</x:v>
      </x:c>
      <x:c r="F18" s="26" t="n">
        <x:f>IF('04_Ресурсы'!K102="","",'04_Ресурсы'!K102)</x:f>
        <x:v>4.03</x:v>
      </x:c>
      <x:c r="G18" s="26" t="n">
        <x:f>IF('04_Ресурсы'!L102="","",'04_Ресурсы'!L102)</x:f>
        <x:v>16.12</x:v>
      </x:c>
      <x:c r="H18" s="23" t="str">
        <x:v>АС.2 л.66; PDF 76</x:v>
      </x:c>
      <x:c r="I18" s="23" t="str">
        <x:v>МУ1: два экземпляра</x:v>
      </x:c>
      <x:c r="J18" s="23" t="str">
        <x:v>L1_МУ1_F2/1</x:v>
      </x:c>
    </x:row>
    <x:row r="19" ht="58" customHeight="1">
      <x:c r="A19" s="23" t="n">
        <x:v>14</x:v>
      </x:c>
      <x:c r="B19" s="23" t="str">
        <x:v>МУ1 / 2</x:v>
      </x:c>
      <x:c r="C19" s="23" t="str">
        <x:v>∅16 А500С; L=1180 мм; ГОСТ 34028-2016</x:v>
      </x:c>
      <x:c r="D19" s="23" t="str">
        <x:v>шт</x:v>
      </x:c>
      <x:c r="E19" s="26" t="n">
        <x:f>'04_Ресурсы'!J103</x:f>
        <x:v>1</x:v>
      </x:c>
      <x:c r="F19" s="26" t="n">
        <x:f>IF('04_Ресурсы'!K103="","",'04_Ресурсы'!K103)</x:f>
        <x:v>1.86</x:v>
      </x:c>
      <x:c r="G19" s="26" t="n">
        <x:f>IF('04_Ресурсы'!L103="","",'04_Ресурсы'!L103)</x:f>
        <x:v>1.86</x:v>
      </x:c>
      <x:c r="H19" s="23" t="str">
        <x:v>АС.2 л.66; PDF 76</x:v>
      </x:c>
      <x:c r="I19" s="23" t="str">
        <x:v>МУ1: два экземпляра</x:v>
      </x:c>
      <x:c r="J19" s="23" t="str">
        <x:v>L1_МУ1_F2/2</x:v>
      </x:c>
    </x:row>
    <x:row r="20" ht="58" customHeight="1">
      <x:c r="A20" s="23" t="n">
        <x:v>15</x:v>
      </x:c>
      <x:c r="B20" s="23" t="str">
        <x:v>МУ1 / 3*</x:v>
      </x:c>
      <x:c r="C20" s="23" t="str">
        <x:v>∅8 А240; L=620 мм; ГОСТ 34028-2016</x:v>
      </x:c>
      <x:c r="D20" s="23" t="str">
        <x:v>шт</x:v>
      </x:c>
      <x:c r="E20" s="26" t="n">
        <x:f>'04_Ресурсы'!J104</x:f>
        <x:v>14</x:v>
      </x:c>
      <x:c r="F20" s="26" t="n">
        <x:f>IF('04_Ресурсы'!K104="","",'04_Ресурсы'!K104)</x:f>
        <x:v>0.24</x:v>
      </x:c>
      <x:c r="G20" s="26" t="n">
        <x:f>IF('04_Ресурсы'!L104="","",'04_Ресурсы'!L104)</x:f>
        <x:v>3.36</x:v>
      </x:c>
      <x:c r="H20" s="23" t="str">
        <x:v>АС.2 л.66; PDF 76</x:v>
      </x:c>
      <x:c r="I20" s="23" t="str">
        <x:v>МУ1: два экземпляра</x:v>
      </x:c>
      <x:c r="J20" s="23" t="str">
        <x:v>L1_МУ1_F2/3*</x:v>
      </x:c>
    </x:row>
    <x:row r="21" ht="58" customHeight="1">
      <x:c r="A21" s="23" t="n">
        <x:v>16</x:v>
      </x:c>
      <x:c r="B21" s="23" t="str">
        <x:v>МУ1 / 4*</x:v>
      </x:c>
      <x:c r="C21" s="23" t="str">
        <x:v>∅8 А240; L=660 мм; ГОСТ 34028-2016</x:v>
      </x:c>
      <x:c r="D21" s="23" t="str">
        <x:v>шт</x:v>
      </x:c>
      <x:c r="E21" s="26" t="n">
        <x:f>'04_Ресурсы'!J105</x:f>
        <x:v>11</x:v>
      </x:c>
      <x:c r="F21" s="26" t="n">
        <x:f>IF('04_Ресурсы'!K105="","",'04_Ресурсы'!K105)</x:f>
        <x:v>0.26</x:v>
      </x:c>
      <x:c r="G21" s="26" t="n">
        <x:f>IF('04_Ресурсы'!L105="","",'04_Ресурсы'!L105)</x:f>
        <x:v>2.8600000000000003</x:v>
      </x:c>
      <x:c r="H21" s="23" t="str">
        <x:v>АС.2 л.66; PDF 76</x:v>
      </x:c>
      <x:c r="I21" s="23" t="str">
        <x:v>МУ1: два экземпляра</x:v>
      </x:c>
      <x:c r="J21" s="23" t="str">
        <x:v>L1_МУ1_F2/4*</x:v>
      </x:c>
    </x:row>
    <x:row r="22" ht="58" customHeight="1">
      <x:c r="A22" s="23" t="n">
        <x:v>17</x:v>
      </x:c>
      <x:c r="B22" s="23" t="str">
        <x:v>МУ1 / Бетон</x:v>
      </x:c>
      <x:c r="C22" s="23" t="str">
        <x:v>Тяжёлый бетон В25; ГОСТ 26633-2015</x:v>
      </x:c>
      <x:c r="D22" s="23" t="str">
        <x:v>м³</x:v>
      </x:c>
      <x:c r="E22" s="26" t="n">
        <x:f>'04_Ресурсы'!J106</x:f>
        <x:v>0.1</x:v>
      </x:c>
      <x:c r="F22" s="26" t="str">
        <x:f>IF('04_Ресурсы'!K106="","",'04_Ресурсы'!K106)</x:f>
      </x:c>
      <x:c r="G22" s="26" t="str">
        <x:f>IF('04_Ресурсы'!L106="","",'04_Ресурсы'!L106)</x:f>
      </x:c>
      <x:c r="H22" s="23" t="str">
        <x:v>АС.2 л.66; PDF 76</x:v>
      </x:c>
      <x:c r="I22" s="23" t="str">
        <x:v>На один экземпляр. Два экземпляра по заголовку л.66 и планам л.55, несмотря на 1 шт в л.56.</x:v>
      </x:c>
      <x:c r="J22" s="23" t="str">
        <x:v>L1_МУ1_F2/Бетон</x:v>
      </x:c>
    </x:row>
    <x:row r="23" ht="58" customHeight="1">
      <x:c r="A23" s="23" t="n">
        <x:v>18</x:v>
      </x:c>
      <x:c r="B23" s="23" t="str">
        <x:v>МУ3 / 1</x:v>
      </x:c>
      <x:c r="C23" s="23" t="str">
        <x:v>∅16 А500С; погонный метраж; ГОСТ 34028-2016</x:v>
      </x:c>
      <x:c r="D23" s="23" t="str">
        <x:v>м</x:v>
      </x:c>
      <x:c r="E23" s="26" t="n">
        <x:f>'04_Ресурсы'!J107</x:f>
        <x:v>71.94</x:v>
      </x:c>
      <x:c r="F23" s="26" t="n">
        <x:f>IF('04_Ресурсы'!K107="","",'04_Ресурсы'!K107)</x:f>
        <x:v>1.58</x:v>
      </x:c>
      <x:c r="G23" s="26" t="n">
        <x:f>IF('04_Ресурсы'!L107="","",'04_Ресурсы'!L107)</x:f>
        <x:v>113.6652</x:v>
      </x:c>
      <x:c r="H23" s="23" t="str">
        <x:v>АС.2 л.68; PDF 78</x:v>
      </x:c>
      <x:c r="I23" s="23" t="str">
        <x:v>По спецификации РД</x:v>
      </x:c>
      <x:c r="J23" s="23" t="str">
        <x:v>L1_МУ3_F2/1</x:v>
      </x:c>
    </x:row>
    <x:row r="24" ht="58" customHeight="1">
      <x:c r="A24" s="23" t="n">
        <x:v>19</x:v>
      </x:c>
      <x:c r="B24" s="23" t="str">
        <x:v>МУ3 / 2*</x:v>
      </x:c>
      <x:c r="C24" s="23" t="str">
        <x:v>∅16 А500С; L=1665 мм; ГОСТ 34028-2016</x:v>
      </x:c>
      <x:c r="D24" s="23" t="str">
        <x:v>шт</x:v>
      </x:c>
      <x:c r="E24" s="26" t="n">
        <x:f>'04_Ресурсы'!J108</x:f>
        <x:v>15</x:v>
      </x:c>
      <x:c r="F24" s="26" t="n">
        <x:f>IF('04_Ресурсы'!K108="","",'04_Ресурсы'!K108)</x:f>
        <x:v>2.66</x:v>
      </x:c>
      <x:c r="G24" s="26" t="n">
        <x:f>IF('04_Ресурсы'!L108="","",'04_Ресурсы'!L108)</x:f>
        <x:v>39.900000000000006</x:v>
      </x:c>
      <x:c r="H24" s="23" t="str">
        <x:v>АС.2 л.68; PDF 78</x:v>
      </x:c>
      <x:c r="I24" s="23" t="str">
        <x:v>Масса единицы сохранена по таблице.</x:v>
      </x:c>
      <x:c r="J24" s="23" t="str">
        <x:v>L1_МУ3_F2/2*</x:v>
      </x:c>
    </x:row>
    <x:row r="25" ht="58" customHeight="1">
      <x:c r="A25" s="23" t="n">
        <x:v>20</x:v>
      </x:c>
      <x:c r="B25" s="23" t="str">
        <x:v>МУ3 / 3*</x:v>
      </x:c>
      <x:c r="C25" s="23" t="str">
        <x:v>∅16 А500С; L=1470 мм; ГОСТ 34028-2016</x:v>
      </x:c>
      <x:c r="D25" s="23" t="str">
        <x:v>шт</x:v>
      </x:c>
      <x:c r="E25" s="26" t="n">
        <x:f>'04_Ресурсы'!J109</x:f>
        <x:v>18</x:v>
      </x:c>
      <x:c r="F25" s="26" t="n">
        <x:f>IF('04_Ресурсы'!K109="","",'04_Ресурсы'!K109)</x:f>
        <x:v>2.32</x:v>
      </x:c>
      <x:c r="G25" s="26" t="n">
        <x:f>IF('04_Ресурсы'!L109="","",'04_Ресурсы'!L109)</x:f>
        <x:v>41.76</x:v>
      </x:c>
      <x:c r="H25" s="23" t="str">
        <x:v>АС.2 л.68; PDF 78</x:v>
      </x:c>
      <x:c r="I25" s="23" t="str">
        <x:v>По спецификации РД</x:v>
      </x:c>
      <x:c r="J25" s="23" t="str">
        <x:v>L1_МУ3_F2/3*</x:v>
      </x:c>
    </x:row>
    <x:row r="26" ht="58" customHeight="1">
      <x:c r="A26" s="23" t="n">
        <x:v>21</x:v>
      </x:c>
      <x:c r="B26" s="23" t="str">
        <x:v>МУ3 / 4*</x:v>
      </x:c>
      <x:c r="C26" s="23" t="str">
        <x:v>∅10 А240; L=910 мм; ГОСТ 34028-2016</x:v>
      </x:c>
      <x:c r="D26" s="23" t="str">
        <x:v>шт</x:v>
      </x:c>
      <x:c r="E26" s="26" t="n">
        <x:f>'04_Ресурсы'!J110</x:f>
        <x:v>8</x:v>
      </x:c>
      <x:c r="F26" s="26" t="n">
        <x:f>IF('04_Ресурсы'!K110="","",'04_Ресурсы'!K110)</x:f>
        <x:v>0.36</x:v>
      </x:c>
      <x:c r="G26" s="26" t="n">
        <x:f>IF('04_Ресурсы'!L110="","",'04_Ресурсы'!L110)</x:f>
        <x:v>2.88</x:v>
      </x:c>
      <x:c r="H26" s="23" t="str">
        <x:v>АС.2 л.68; PDF 78</x:v>
      </x:c>
      <x:c r="I26" s="23" t="str">
        <x:v>∅10/L910/0,36 кг в РД: проверить сочетание диаметра и массы — RFI-L06.</x:v>
      </x:c>
      <x:c r="J26" s="23" t="str">
        <x:v>L1_МУ3_F2/4*</x:v>
      </x:c>
    </x:row>
    <x:row r="27" ht="58" customHeight="1">
      <x:c r="A27" s="23" t="n">
        <x:v>22</x:v>
      </x:c>
      <x:c r="B27" s="23" t="str">
        <x:v>МУ3 / Бетон</x:v>
      </x:c>
      <x:c r="C27" s="23" t="str">
        <x:v>Тяжёлый бетон В25; ГОСТ 26633-2015</x:v>
      </x:c>
      <x:c r="D27" s="23" t="str">
        <x:v>м³</x:v>
      </x:c>
      <x:c r="E27" s="26" t="n">
        <x:f>'04_Ресурсы'!J111</x:f>
        <x:v>0.94</x:v>
      </x:c>
      <x:c r="F27" s="26" t="str">
        <x:f>IF('04_Ресурсы'!K111="","",'04_Ресурсы'!K111)</x:f>
      </x:c>
      <x:c r="G27" s="26" t="str">
        <x:f>IF('04_Ресурсы'!L111="","",'04_Ресурсы'!L111)</x:f>
      </x:c>
      <x:c r="H27" s="23" t="str">
        <x:v>АС.2 л.68; PDF 78</x:v>
      </x:c>
      <x:c r="I27" s="23" t="str">
        <x:v>По спецификации РД</x:v>
      </x:c>
      <x:c r="J27" s="23" t="str">
        <x:v>L1_МУ3_F2/Бетон</x:v>
      </x:c>
    </x:row>
    <x:row r="28" ht="58" customHeight="1">
      <x:c r="A28" s="23" t="n">
        <x:v>23</x:v>
      </x:c>
      <x:c r="B28" s="23" t="str">
        <x:v>КС2 / 5</x:v>
      </x:c>
      <x:c r="C28" s="23" t="str">
        <x:v>Швеллер 22П; С245; ГОСТ 8240-97; L=4150 мм</x:v>
      </x:c>
      <x:c r="D28" s="23" t="str">
        <x:v>шт</x:v>
      </x:c>
      <x:c r="E28" s="26" t="n">
        <x:f>'04_Ресурсы'!J133</x:f>
        <x:v>4</x:v>
      </x:c>
      <x:c r="F28" s="26" t="n">
        <x:f>IF('04_Ресурсы'!K133="","",'04_Ресурсы'!K133)</x:f>
        <x:v>87.15</x:v>
      </x:c>
      <x:c r="G28" s="26" t="n">
        <x:f>IF('04_Ресурсы'!L133="","",'04_Ресурсы'!L133)</x:f>
        <x:v>348.6</x:v>
      </x:c>
      <x:c r="H28" s="23" t="str">
        <x:v>АС.2 л.59; PDF 69</x:v>
      </x:c>
      <x:c r="I28" s="23" t="str">
        <x:v>Габарит монтажа и длина заготовки не тождественны. Для КС1 см. RFI-L05.</x:v>
      </x:c>
      <x:c r="J28" s="23" t="str">
        <x:v>L1_КС2_F2/5</x:v>
      </x:c>
    </x:row>
    <x:row r="29" ht="58" customHeight="1">
      <x:c r="A29" s="23" t="n">
        <x:v>24</x:v>
      </x:c>
      <x:c r="B29" s="23" t="str">
        <x:v>КС2 / 2</x:v>
      </x:c>
      <x:c r="C29" s="23" t="str">
        <x:v>Уголок 75×8; С245; ГОСТ 8509-93; L=130 мм</x:v>
      </x:c>
      <x:c r="D29" s="23" t="str">
        <x:v>шт</x:v>
      </x:c>
      <x:c r="E29" s="26" t="n">
        <x:f>'04_Ресурсы'!J134</x:f>
        <x:v>8</x:v>
      </x:c>
      <x:c r="F29" s="26" t="n">
        <x:f>IF('04_Ресурсы'!K134="","",'04_Ресурсы'!K134)</x:f>
        <x:v>1.17</x:v>
      </x:c>
      <x:c r="G29" s="26" t="n">
        <x:f>IF('04_Ресурсы'!L134="","",'04_Ресурсы'!L134)</x:f>
        <x:v>9.36</x:v>
      </x:c>
      <x:c r="H29" s="23" t="str">
        <x:v>АС.2 л.59; PDF 69</x:v>
      </x:c>
      <x:c r="I29" s="23" t="str">
        <x:v>Парные т/н; изготовление зеркальное</x:v>
      </x:c>
      <x:c r="J29" s="23" t="str">
        <x:v>L1_КС2_F2/2</x:v>
      </x:c>
    </x:row>
    <x:row r="30" ht="58" customHeight="1">
      <x:c r="A30" s="23" t="n">
        <x:v>25</x:v>
      </x:c>
      <x:c r="B30" s="23" t="str">
        <x:v>КС2 / 4</x:v>
      </x:c>
      <x:c r="C30" s="23" t="str">
        <x:v>Уголок 40×5; С245; ГОСТ 8509-93; L=80 мм</x:v>
      </x:c>
      <x:c r="D30" s="23" t="str">
        <x:v>шт</x:v>
      </x:c>
      <x:c r="E30" s="26" t="n">
        <x:f>'04_Ресурсы'!J135</x:f>
        <x:v>4</x:v>
      </x:c>
      <x:c r="F30" s="26" t="n">
        <x:f>IF('04_Ресурсы'!K135="","",'04_Ресурсы'!K135)</x:f>
        <x:v>0.24</x:v>
      </x:c>
      <x:c r="G30" s="26" t="n">
        <x:f>IF('04_Ресурсы'!L135="","",'04_Ресурсы'!L135)</x:f>
        <x:v>0.96</x:v>
      </x:c>
      <x:c r="H30" s="23" t="str">
        <x:v>АС.2 л.59; PDF 69</x:v>
      </x:c>
      <x:c r="I30" s="23" t="str">
        <x:v>Парные т/н; изготовление зеркальное</x:v>
      </x:c>
      <x:c r="J30" s="23" t="str">
        <x:v>L1_КС2_F2/4</x:v>
      </x:c>
    </x:row>
    <x:row r="31" ht="58" customHeight="1">
      <x:c r="A31" s="23" t="n">
        <x:v>26</x:v>
      </x:c>
      <x:c r="B31" s="23" t="str">
        <x:v>МБ1 / 1</x:v>
      </x:c>
      <x:c r="C31" s="23" t="str">
        <x:v>Швеллер 27П; С245; ГОСТ 8240-97; L=2830 мм</x:v>
      </x:c>
      <x:c r="D31" s="23" t="str">
        <x:v>шт</x:v>
      </x:c>
      <x:c r="E31" s="26" t="n">
        <x:f>'04_Ресурсы'!J136</x:f>
        <x:v>2</x:v>
      </x:c>
      <x:c r="F31" s="26" t="n">
        <x:f>IF('04_Ресурсы'!K136="","",'04_Ресурсы'!K136)</x:f>
        <x:v>78.39</x:v>
      </x:c>
      <x:c r="G31" s="26" t="n">
        <x:f>IF('04_Ресурсы'!L136="","",'04_Ресурсы'!L136)</x:f>
        <x:v>156.78</x:v>
      </x:c>
      <x:c r="H31" s="23" t="str">
        <x:v>АС.2 л.57; PDF 67</x:v>
      </x:c>
      <x:c r="I31" s="23" t="str">
        <x:v>По спецификации РД</x:v>
      </x:c>
      <x:c r="J31" s="23" t="str">
        <x:v>L1_МБ1_F2/1</x:v>
      </x:c>
    </x:row>
    <x:row r="32" ht="58" customHeight="1">
      <x:c r="A32" s="23" t="n">
        <x:v>27</x:v>
      </x:c>
      <x:c r="B32" s="23" t="str">
        <x:v>МБ1 / 2</x:v>
      </x:c>
      <x:c r="C32" s="23" t="str">
        <x:v>Уголок 100×7; С245; ГОСТ 8509-93; L=200 мм</x:v>
      </x:c>
      <x:c r="D32" s="23" t="str">
        <x:v>шт</x:v>
      </x:c>
      <x:c r="E32" s="26" t="n">
        <x:f>'04_Ресурсы'!J137</x:f>
        <x:v>4</x:v>
      </x:c>
      <x:c r="F32" s="26" t="n">
        <x:f>IF('04_Ресурсы'!K137="","",'04_Ресурсы'!K137)</x:f>
        <x:v>2.16</x:v>
      </x:c>
      <x:c r="G32" s="26" t="n">
        <x:f>IF('04_Ресурсы'!L137="","",'04_Ресурсы'!L137)</x:f>
        <x:v>8.64</x:v>
      </x:c>
      <x:c r="H32" s="23" t="str">
        <x:v>АС.2 л.57; PDF 67</x:v>
      </x:c>
      <x:c r="I32" s="23" t="str">
        <x:v>По спецификации РД</x:v>
      </x:c>
      <x:c r="J32" s="23" t="str">
        <x:v>L1_МБ1_F2/2</x:v>
      </x:c>
    </x:row>
    <x:row r="33" ht="58" customHeight="1">
      <x:c r="A33" s="23" t="n">
        <x:v>28</x:v>
      </x:c>
      <x:c r="B33" s="23" t="str">
        <x:v>МБ2 / 1</x:v>
      </x:c>
      <x:c r="C33" s="23" t="str">
        <x:v>Швеллер 27П; С245; ГОСТ 8240-97; L=2830 мм</x:v>
      </x:c>
      <x:c r="D33" s="23" t="str">
        <x:v>шт</x:v>
      </x:c>
      <x:c r="E33" s="26" t="n">
        <x:f>'04_Ресурсы'!J138</x:f>
        <x:v>1</x:v>
      </x:c>
      <x:c r="F33" s="26" t="n">
        <x:f>IF('04_Ресурсы'!K138="","",'04_Ресурсы'!K138)</x:f>
        <x:v>78.39</x:v>
      </x:c>
      <x:c r="G33" s="26" t="n">
        <x:f>IF('04_Ресурсы'!L138="","",'04_Ресурсы'!L138)</x:f>
        <x:v>78.39</x:v>
      </x:c>
      <x:c r="H33" s="23" t="str">
        <x:v>АС.2 л.57; PDF 67</x:v>
      </x:c>
      <x:c r="I33" s="23" t="str">
        <x:v>По спецификации РД</x:v>
      </x:c>
      <x:c r="J33" s="23" t="str">
        <x:v>L1_МБ2_F2/1</x:v>
      </x:c>
    </x:row>
    <x:row r="34" ht="58" customHeight="1">
      <x:c r="A34" s="23" t="n">
        <x:v>29</x:v>
      </x:c>
      <x:c r="B34" s="23" t="str">
        <x:v>МБ2 / 2</x:v>
      </x:c>
      <x:c r="C34" s="23" t="str">
        <x:v>Уголок 100×7; С245; ГОСТ 8509-93; L=200 мм</x:v>
      </x:c>
      <x:c r="D34" s="23" t="str">
        <x:v>шт</x:v>
      </x:c>
      <x:c r="E34" s="26" t="n">
        <x:f>'04_Ресурсы'!J139</x:f>
        <x:v>2</x:v>
      </x:c>
      <x:c r="F34" s="26" t="n">
        <x:f>IF('04_Ресурсы'!K139="","",'04_Ресурсы'!K139)</x:f>
        <x:v>2.16</x:v>
      </x:c>
      <x:c r="G34" s="26" t="n">
        <x:f>IF('04_Ресурсы'!L139="","",'04_Ресурсы'!L139)</x:f>
        <x:v>4.32</x:v>
      </x:c>
      <x:c r="H34" s="23" t="str">
        <x:v>АС.2 л.57; PDF 67</x:v>
      </x:c>
      <x:c r="I34" s="23" t="str">
        <x:v>По спецификации РД</x:v>
      </x:c>
      <x:c r="J34" s="23" t="str">
        <x:v>L1_МБ2_F2/2</x:v>
      </x:c>
    </x:row>
    <x:row r="35" ht="58" customHeight="1">
      <x:c r="A35" s="23" t="n">
        <x:v>30</x:v>
      </x:c>
      <x:c r="B35" s="23" t="str">
        <x:v>ЛС1 / Изделие</x:v>
      </x:c>
      <x:c r="C35" s="23" t="str">
        <x:v>Ступень ЛС12; ГОСТ 8717-2016</x:v>
      </x:c>
      <x:c r="D35" s="23" t="str">
        <x:v>шт</x:v>
      </x:c>
      <x:c r="E35" s="26" t="n">
        <x:f>'04_Ресурсы'!J140</x:f>
        <x:v>22</x:v>
      </x:c>
      <x:c r="F35" s="26" t="n">
        <x:f>IF('04_Ресурсы'!K140="","",'04_Ресурсы'!K140)</x:f>
        <x:v>128</x:v>
      </x:c>
      <x:c r="G35" s="26" t="n">
        <x:f>IF('04_Ресурсы'!L140="","",'04_Ресурсы'!L140)</x:f>
        <x:v>2816</x:v>
      </x:c>
      <x:c r="H35" s="23" t="str">
        <x:v>АС.2 л.56; PDF 66</x:v>
      </x:c>
      <x:c r="I35" s="23" t="str">
        <x:v>Единица изделия; количество применяется по реестру экземпляров. Геометрия изделий габаритная.</x:v>
      </x:c>
      <x:c r="J35" s="23" t="str">
        <x:v>L1_ЛС1_F2/Изделие</x:v>
      </x:c>
    </x:row>
    <x:row r="36" ht="58" customHeight="1">
      <x:c r="A36" s="23" t="n">
        <x:v>31</x:v>
      </x:c>
      <x:c r="B36" s="23" t="str">
        <x:v>ОП1 / Изделие</x:v>
      </x:c>
      <x:c r="C36" s="23" t="str">
        <x:v>Опорная подушка ОП1; серия 1.069-1, вып.1</x:v>
      </x:c>
      <x:c r="D36" s="23" t="str">
        <x:v>шт</x:v>
      </x:c>
      <x:c r="E36" s="26" t="n">
        <x:f>'04_Ресурсы'!J141</x:f>
        <x:v>6</x:v>
      </x:c>
      <x:c r="F36" s="26" t="n">
        <x:f>IF('04_Ресурсы'!K141="","",'04_Ресурсы'!K141)</x:f>
        <x:v>33</x:v>
      </x:c>
      <x:c r="G36" s="26" t="n">
        <x:f>IF('04_Ресурсы'!L141="","",'04_Ресурсы'!L141)</x:f>
        <x:v>198</x:v>
      </x:c>
      <x:c r="H36" s="23" t="str">
        <x:v>АС.2 л.56; PDF 66</x:v>
      </x:c>
      <x:c r="I36" s="23" t="str">
        <x:v>Единица изделия; количество применяется по реестру экземпляров. Геометрия изделий габаритная.</x:v>
      </x:c>
      <x:c r="J36" s="23" t="str">
        <x:v>L1_ОП1_F2/Изделие</x:v>
      </x:c>
    </x:row>
    <x:row r="37" ht="58" customHeight="1">
      <x:c r="A37" s="23" t="n">
        <x:v>32</x:v>
      </x:c>
      <x:c r="B37" s="23" t="str">
        <x:v>ПР1 / Изделие</x:v>
      </x:c>
      <x:c r="C37" s="23" t="str">
        <x:v>Перемычка 3ПБ18-8; серия 1.038-1, вып.1</x:v>
      </x:c>
      <x:c r="D37" s="23" t="str">
        <x:v>шт</x:v>
      </x:c>
      <x:c r="E37" s="26" t="n">
        <x:f>'04_Ресурсы'!J142</x:f>
        <x:v>2</x:v>
      </x:c>
      <x:c r="F37" s="26" t="n">
        <x:f>IF('04_Ресурсы'!K142="","",'04_Ресурсы'!K142)</x:f>
        <x:v>119</x:v>
      </x:c>
      <x:c r="G37" s="26" t="n">
        <x:f>IF('04_Ресурсы'!L142="","",'04_Ресурсы'!L142)</x:f>
        <x:v>238</x:v>
      </x:c>
      <x:c r="H37" s="23" t="str">
        <x:v>АС.2 л.56; PDF 66</x:v>
      </x:c>
      <x:c r="I37" s="23" t="str">
        <x:v>Единица изделия; количество применяется по реестру экземпляров. Геометрия изделий габаритная.</x:v>
      </x:c>
      <x:c r="J37" s="23" t="str">
        <x:v>L1_ПР1_F2/Изделие</x:v>
      </x:c>
    </x:row>
    <x:row r="38" ht="88" customHeight="1">
      <x:c r="A38" s="36" t="n">
        <x:v>33</x:v>
      </x:c>
      <x:c r="B38" s="36" t="str">
        <x:v>Кирпичные стены</x:v>
      </x:c>
      <x:c r="C38" s="36" t="str">
        <x:v>Кладка из кирпича КР-р-по 250×120×65/1НФ/100/2,0/35 на растворе М75 (в объёме кладки, не число кирпичей)</x:v>
      </x:c>
      <x:c r="D38" s="36" t="str">
        <x:v>м³</x:v>
      </x:c>
      <x:c r="E38" s="38" t="n">
        <x:f>'06_Контроль3D'!E16</x:f>
        <x:v>13.8915</x:v>
      </x:c>
      <x:c r="F38" s="38"/>
      <x:c r="G38" s="38"/>
      <x:c r="H38" s="36" t="str">
        <x:v>АС.2 л.55</x:v>
      </x:c>
      <x:c r="I38" s="36" t="str">
        <x:v>ПРЕДВАРИТЕЛЬНО по габаритам. Расход кирпича в штуках и раствора отдельно не задан, норматив не подставлялся.</x:v>
      </x:c>
      <x:c r="J38" s="36" t="str">
        <x:v>G_BR_F2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3d0cf991ecd64cb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7" hidden="0" customWidth="1"/>
    <x:col min="3" max="3" width="8" hidden="0" customWidth="1"/>
    <x:col min="4" max="4" width="16" hidden="0" customWidth="1"/>
    <x:col min="5" max="5" width="28" hidden="0" customWidth="1"/>
    <x:col min="6" max="6" width="34" hidden="0" customWidth="1"/>
    <x:col min="7" max="7" width="70" hidden="0" customWidth="1"/>
  </x:cols>
  <x:sheetData>
    <x:row r="1" ht="32" customHeight="1">
      <x:c r="A1" s="4" t="str">
        <x:v>Л-1 / ВОР — 2 ЭТАЖ → 3 ЭТАЖ</x:v>
      </x:c>
      <x:c r="B1" s="4"/>
      <x:c r="C1" s="4"/>
      <x:c r="D1" s="4"/>
      <x:c r="E1" s="4"/>
      <x:c r="F1" s="4"/>
      <x:c r="G1" s="4"/>
    </x:row>
    <x:row r="2" ht="23" customHeight="1">
      <x:c r="A2" s="10" t="str">
        <x:v>Количество с числом — по РД либо явно обозначенному расчёту. Пустое количество означает «требуется уточнение», не ноль. Материал и операция не суммируются как единая потребность.</x:v>
      </x:c>
      <x:c r="B2" s="10"/>
      <x:c r="C2" s="10"/>
      <x:c r="D2" s="10"/>
      <x:c r="E2" s="10"/>
      <x:c r="F2" s="10"/>
      <x:c r="G2" s="10"/>
    </x:row>
    <x:row r="3" ht="23" customHeight="1">
      <x:c r="A3" s="10"/>
      <x:c r="B3" s="10"/>
      <x:c r="C3" s="10"/>
      <x:c r="D3" s="10"/>
      <x:c r="E3" s="10"/>
      <x:c r="F3" s="10"/>
      <x:c r="G3" s="10"/>
    </x:row>
    <x:row r="5" ht="38" customHeight="1">
      <x:c r="A5" s="17" t="str">
        <x:v>№</x:v>
      </x:c>
      <x:c r="B5" s="17" t="str">
        <x:v>Наименование работ</x:v>
      </x:c>
      <x:c r="C5" s="17" t="str">
        <x:v>Ед.</x:v>
      </x:c>
      <x:c r="D5" s="17" t="str">
        <x:v>Количество</x:v>
      </x:c>
      <x:c r="E5" s="17" t="str">
        <x:v>Источник</x:v>
      </x:c>
      <x:c r="F5" s="17" t="str">
        <x:v>Статус объёма</x:v>
      </x:c>
      <x:c r="G5" s="17" t="str">
        <x:v>Расчёт / ограничение</x:v>
      </x:c>
    </x:row>
    <x:row r="6" ht="58" customHeight="1">
      <x:c r="A6" s="23" t="n">
        <x:v>1</x:v>
      </x:c>
      <x:c r="B6" s="23" t="str">
        <x:v>Бетонирование ЛП2: Тяжёлый бетон В25; ГОСТ 26633-2015</x:v>
      </x:c>
      <x:c r="C6" s="23" t="str">
        <x:v>м³</x:v>
      </x:c>
      <x:c r="D6" s="26" t="n">
        <x:f>'04_Ресурсы'!J72</x:f>
        <x:v>0.9</x:v>
      </x:c>
      <x:c r="E6" s="23" t="str">
        <x:v>АС.2 л.61; PDF 71</x:v>
      </x:c>
      <x:c r="F6" s="23" t="str">
        <x:v>По спецификации РД</x:v>
      </x:c>
      <x:c r="G6" s="23" t="str"/>
    </x:row>
    <x:row r="7" ht="58" customHeight="1">
      <x:c r="A7" s="23" t="n">
        <x:v>2</x:v>
      </x:c>
      <x:c r="B7" s="23" t="str">
        <x:v>Бетонирование МУ1: Тяжёлый бетон В25; ГОСТ 26633-2015</x:v>
      </x:c>
      <x:c r="C7" s="23" t="str">
        <x:v>м³</x:v>
      </x:c>
      <x:c r="D7" s="26" t="n">
        <x:f>'04_Ресурсы'!J106</x:f>
        <x:v>0.1</x:v>
      </x:c>
      <x:c r="E7" s="23" t="str">
        <x:v>АС.2 л.66; PDF 76</x:v>
      </x:c>
      <x:c r="F7" s="23" t="str">
        <x:v>По спецификации РД</x:v>
      </x:c>
      <x:c r="G7" s="23" t="str">
        <x:v>На один экземпляр. Два экземпляра по заголовку л.66 и планам л.55, несмотря на 1 шт в л.56.</x:v>
      </x:c>
    </x:row>
    <x:row r="8" ht="58" customHeight="1">
      <x:c r="A8" s="23" t="n">
        <x:v>3</x:v>
      </x:c>
      <x:c r="B8" s="23" t="str">
        <x:v>Бетонирование МУ3: Тяжёлый бетон В25; ГОСТ 26633-2015</x:v>
      </x:c>
      <x:c r="C8" s="23" t="str">
        <x:v>м³</x:v>
      </x:c>
      <x:c r="D8" s="26" t="n">
        <x:f>'04_Ресурсы'!J111</x:f>
        <x:v>0.94</x:v>
      </x:c>
      <x:c r="E8" s="23" t="str">
        <x:v>АС.2 л.68; PDF 78</x:v>
      </x:c>
      <x:c r="F8" s="23" t="str">
        <x:v>По спецификации РД</x:v>
      </x:c>
      <x:c r="G8" s="23" t="str"/>
    </x:row>
    <x:row r="9" ht="58" customHeight="1">
      <x:c r="A9" s="23" t="n">
        <x:v>4</x:v>
      </x:c>
      <x:c r="B9" s="23" t="str">
        <x:v>Изготовление и установка арматуры, включая детали каркасов и выпуски</x:v>
      </x:c>
      <x:c r="C9" s="23" t="str">
        <x:v>кг</x:v>
      </x:c>
      <x:c r="D9" s="26" t="n">
        <x:f>'04_Ресурсы'!L61+'04_Ресурсы'!L62+'04_Ресурсы'!L63+'04_Ресурсы'!L64+'04_Ресурсы'!L65+'04_Ресурсы'!L66+'04_Ресурсы'!L67+'04_Ресурсы'!L68+'04_Ресурсы'!L69+'04_Ресурсы'!L70+'04_Ресурсы'!L102+'04_Ресурсы'!L103+'04_Ресурсы'!L104+'04_Ресурсы'!L105+'04_Ресурсы'!L107+'04_Ресурсы'!L108+'04_Ресурсы'!L109+'04_Ресурсы'!L110</x:f>
        <x:v>291.1252</x:v>
      </x:c>
      <x:c r="E9" s="23" t="str">
        <x:v>Детальные спецификации этажа; см. СП</x:v>
      </x:c>
      <x:c r="F9" s="23" t="str">
        <x:v>Расчёт по единичным массам РД</x:v>
      </x:c>
      <x:c r="G9" s="23" t="str">
        <x:v>Массы спорных позиций не исправлены нормативными аналогами. Выпуски Фп-1 учтены один раз.</x:v>
      </x:c>
    </x:row>
    <x:row r="10" ht="58" customHeight="1">
      <x:c r="A10" s="23" t="n">
        <x:v>5</x:v>
      </x:c>
      <x:c r="B10" s="23" t="str">
        <x:v>Устройство несъёмной опалубки из профлиста Н75-750-0,8</x:v>
      </x:c>
      <x:c r="C10" s="23" t="str">
        <x:v>м²</x:v>
      </x:c>
      <x:c r="D10" s="26" t="n">
        <x:f>'04_Ресурсы'!J71</x:f>
        <x:v>6.6</x:v>
      </x:c>
      <x:c r="E10" s="23" t="str">
        <x:v>АС.2 л.60–63</x:v>
      </x:c>
      <x:c r="F10" s="23" t="str">
        <x:v>По спецификации РД</x:v>
      </x:c>
      <x:c r="G10" s="23" t="str">
        <x:v>Профлист крепить к балкам через одну волну; число креплений в РД не дано.</x:v>
      </x:c>
    </x:row>
    <x:row r="11" ht="58" customHeight="1">
      <x:c r="A11" s="23" t="n">
        <x:v>6</x:v>
      </x:c>
      <x:c r="B11" s="23" t="str">
        <x:v>Изготовление металлоконструкций: балки и косоуры</x:v>
      </x:c>
      <x:c r="C11" s="23" t="str">
        <x:v>т</x:v>
      </x:c>
      <x:c r="D11" s="26" t="n">
        <x:f>('04_Ресурсы'!L133+'04_Ресурсы'!L134+'04_Ресурсы'!L135+'04_Ресурсы'!L136+'04_Ресурсы'!L137+'04_Ресурсы'!L138+'04_Ресурсы'!L139)/1000</x:f>
        <x:v>0.6070500000000001</x:v>
      </x:c>
      <x:c r="E11" s="23" t="str">
        <x:v>АС.2 л.57–59</x:v>
      </x:c>
      <x:c r="F11" s="23" t="str">
        <x:v>Масса по таблицам РД — к согласованию</x:v>
      </x:c>
      <x:c r="G11" s="23" t="str">
        <x:v>Заводские длины/массы КС1 противоречивы. Не заказывать по геометрии 3D.</x:v>
      </x:c>
    </x:row>
    <x:row r="12" ht="58" customHeight="1">
      <x:c r="A12" s="23" t="n">
        <x:v>7</x:v>
      </x:c>
      <x:c r="B12" s="23" t="str">
        <x:v>Монтаж металлоконструкций: балки и косоуры</x:v>
      </x:c>
      <x:c r="C12" s="23" t="str">
        <x:v>т</x:v>
      </x:c>
      <x:c r="D12" s="26" t="n">
        <x:f>('04_Ресурсы'!L133+'04_Ресурсы'!L134+'04_Ресурсы'!L135+'04_Ресурсы'!L136+'04_Ресурсы'!L137+'04_Ресурсы'!L138+'04_Ресурсы'!L139)/1000</x:f>
        <x:v>0.6070500000000001</x:v>
      </x:c>
      <x:c r="E12" s="23" t="str">
        <x:v>АС.2 л.55–59</x:v>
      </x:c>
      <x:c r="F12" s="23" t="str">
        <x:v>Масса по таблицам РД — к согласованию</x:v>
      </x:c>
      <x:c r="G12" s="23" t="str">
        <x:v>Отдельная операция, не дополнительный объём металла для закупки.</x:v>
      </x:c>
    </x:row>
    <x:row r="13" ht="58" customHeight="1">
      <x:c r="A13" s="23" t="n">
        <x:v>8</x:v>
      </x:c>
      <x:c r="B13" s="23" t="str">
        <x:v>Монтаж сборных ступеней ЛС12</x:v>
      </x:c>
      <x:c r="C13" s="23" t="str">
        <x:v>шт</x:v>
      </x:c>
      <x:c r="D13" s="26" t="n">
        <x:f>'04_Ресурсы'!J140</x:f>
        <x:v>22</x:v>
      </x:c>
      <x:c r="E13" s="23" t="str">
        <x:v>АС.2 л.55,56</x:v>
      </x:c>
      <x:c r="F13" s="23" t="str">
        <x:v>РД 70 шт; этажная разбивка расчётная</x:v>
      </x:c>
      <x:c r="G13" s="23" t="str"/>
    </x:row>
    <x:row r="14" ht="58" customHeight="1">
      <x:c r="A14" s="23" t="n">
        <x:v>9</x:v>
      </x:c>
      <x:c r="B14" s="23" t="str">
        <x:v>Устройство / монтаж опорных подушек ОП1</x:v>
      </x:c>
      <x:c r="C14" s="23" t="str">
        <x:v>шт</x:v>
      </x:c>
      <x:c r="D14" s="26" t="n">
        <x:f>'04_Ресурсы'!J141</x:f>
        <x:v>6</x:v>
      </x:c>
      <x:c r="E14" s="23" t="str">
        <x:v>АС.2 л.55,56</x:v>
      </x:c>
      <x:c r="F14" s="23" t="str">
        <x:v>Количество РД; разбивка по планам</x:v>
      </x:c>
      <x:c r="G14" s="23" t="str"/>
    </x:row>
    <x:row r="15" ht="58" customHeight="1">
      <x:c r="A15" s="23" t="n">
        <x:v>10</x:v>
      </x:c>
      <x:c r="B15" s="23" t="str">
        <x:v>Монтаж перемычек ПР1 — 3ПБ18-8</x:v>
      </x:c>
      <x:c r="C15" s="23" t="str">
        <x:v>шт</x:v>
      </x:c>
      <x:c r="D15" s="26" t="n">
        <x:f>'04_Ресурсы'!J142</x:f>
        <x:v>2</x:v>
      </x:c>
      <x:c r="E15" s="23" t="str">
        <x:v>АС.2 л.55,56</x:v>
      </x:c>
      <x:c r="F15" s="23" t="str">
        <x:v>Количество РД; разбивка по планам</x:v>
      </x:c>
      <x:c r="G15" s="23" t="str"/>
    </x:row>
    <x:row r="16" ht="58" customHeight="1">
      <x:c r="A16" s="36" t="n">
        <x:v>11</x:v>
      </x:c>
      <x:c r="B16" s="36" t="str">
        <x:v>Возведение кирпичной кладки на растворе М75</x:v>
      </x:c>
      <x:c r="C16" s="36" t="str">
        <x:v>м³</x:v>
      </x:c>
      <x:c r="D16" s="38" t="n">
        <x:f>'06_Контроль3D'!E16</x:f>
        <x:v>13.8915</x:v>
      </x:c>
      <x:c r="E16" s="36" t="str">
        <x:v>АС.2 л.55,69; габаритный контроль</x:v>
      </x:c>
      <x:c r="F16" s="36" t="str">
        <x:v>ПРЕДВАРИТЕЛЬНО / не подтверждено</x:v>
      </x:c>
      <x:c r="G16" s="36" t="str">
        <x:v>С вычетом дверей; без вычетов гнёзд ОП и неувязанных перемычек. Уточнить перед КС / закупкой.</x:v>
      </x:c>
    </x:row>
    <x:row r="17" ht="58" customHeight="1">
      <x:c r="A17" s="36" t="n">
        <x:v>12</x:v>
      </x:c>
      <x:c r="B17" s="36" t="str">
        <x:v>Снятие отделки существующих стен перед кладкой</x:v>
      </x:c>
      <x:c r="C17" s="36" t="str">
        <x:v>м²</x:v>
      </x:c>
      <x:c r="D17" s="38"/>
      <x:c r="E17" s="36" t="str">
        <x:v>АС.2 л.55–58</x:v>
      </x:c>
      <x:c r="F17" s="36" t="str">
        <x:v>ТРЕБУЕТСЯ УТОЧНЕНИЕ</x:v>
      </x:c>
      <x:c r="G17" s="36" t="str">
        <x:v>Л.55 п.11, площадь контакта не выделена.</x:v>
      </x:c>
    </x:row>
    <x:row r="18" ht="58" customHeight="1">
      <x:c r="A18" s="36" t="n">
        <x:v>13</x:v>
      </x:c>
      <x:c r="B18" s="36" t="str">
        <x:v>Обрезка / демонтаж существующего перекрытия в зоне Л-1</x:v>
      </x:c>
      <x:c r="C18" s="36" t="str">
        <x:v>м²</x:v>
      </x:c>
      <x:c r="D18" s="38"/>
      <x:c r="E18" s="36" t="str">
        <x:v>АС.2 л.55–58</x:v>
      </x:c>
      <x:c r="F18" s="36" t="str">
        <x:v>ТРЕБУЕТСЯ УТОЧНЕНИЕ</x:v>
      </x:c>
      <x:c r="G18" s="36" t="str">
        <x:v>Площади вычетов базовой 3D не являются согласованным ВОР демонтажа.</x:v>
      </x:c>
    </x:row>
    <x:row r="19" ht="58" customHeight="1">
      <x:c r="A19" s="36" t="n">
        <x:v>14</x:v>
      </x:c>
      <x:c r="B19" s="36" t="str">
        <x:v>Установка временных опор и подмостей</x:v>
      </x:c>
      <x:c r="C19" s="36" t="str">
        <x:v>м²</x:v>
      </x:c>
      <x:c r="D19" s="38"/>
      <x:c r="E19" s="36" t="str">
        <x:v>АС.2 л.55–58</x:v>
      </x:c>
      <x:c r="F19" s="36" t="str">
        <x:v>ТРЕБУЕТСЯ УТОЧНЕНИЕ</x:v>
      </x:c>
      <x:c r="G19" s="36" t="str">
        <x:v>Состав и площадь — по ППР, не назначались.</x:v>
      </x:c>
    </x:row>
    <x:row r="20" ht="58" customHeight="1">
      <x:c r="A20" s="36" t="n">
        <x:v>15</x:v>
      </x:c>
      <x:c r="B20" s="36" t="str">
        <x:v>Грунтование и окраска металлоконструкций эмалью ПФ-115 за 2 раза</x:v>
      </x:c>
      <x:c r="C20" s="36" t="str">
        <x:v>м²</x:v>
      </x:c>
      <x:c r="D20" s="38"/>
      <x:c r="E20" s="36" t="str">
        <x:v>АС.2 л.55–58</x:v>
      </x:c>
      <x:c r="F20" s="36" t="str">
        <x:v>ТРЕБУЕТСЯ УТОЧНЕНИЕ</x:v>
      </x:c>
      <x:c r="G20" s="36" t="str">
        <x:v>Не подменять развёрнутую площадь металла площадью короба огнезащиты.</x:v>
      </x:c>
    </x:row>
    <x:row r="21" ht="58" customHeight="1">
      <x:c r="A21" s="36" t="n">
        <x:v>16</x:v>
      </x:c>
      <x:c r="B21" s="36" t="str">
        <x:v>Ограждения маршей и площадок / поручни</x:v>
      </x:c>
      <x:c r="C21" s="36" t="str">
        <x:v>м</x:v>
      </x:c>
      <x:c r="D21" s="38"/>
      <x:c r="E21" s="36" t="str">
        <x:v>Листы 47–69</x:v>
      </x:c>
      <x:c r="F21" s="36" t="str">
        <x:v>Не специфицировано в диапазоне</x:v>
      </x:c>
      <x:c r="G21" s="36" t="str">
        <x:v>Не назначать длину и марку без профильных чертежей ограждений.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ccc25fb223c6463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47" hidden="0" customWidth="1"/>
    <x:col min="4" max="4" width="7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  <x:col min="9" max="9" width="60" hidden="0" customWidth="1"/>
    <x:col min="10" max="10" width="32" hidden="0" customWidth="1"/>
  </x:cols>
  <x:sheetData>
    <x:row r="1" ht="32" customHeight="1">
      <x:c r="A1" s="4" t="str">
        <x:v>Л-1 / СПЕЦИФИКАЦИЯ — 3 ЭТАЖ → ВЫХОД НА КРОВЛЮ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10" t="str">
        <x:v>Основные материалы без запаса и стоимости. Арматурные каркасы раскрыты на стержни; массы взяты из РД и проверены арифметически. Жёлтые строки — предварительные или требующие согласования.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8" customHeight="1">
      <x:c r="A5" s="17" t="str">
        <x:v>№</x:v>
      </x:c>
      <x:c r="B5" s="17" t="str">
        <x:v>Конструкция / позиция</x:v>
      </x:c>
      <x:c r="C5" s="17" t="str">
        <x:v>Материал / изделие</x:v>
      </x:c>
      <x:c r="D5" s="17" t="str">
        <x:v>Ед.</x:v>
      </x:c>
      <x:c r="E5" s="17" t="str">
        <x:v>Количество</x:v>
      </x:c>
      <x:c r="F5" s="17" t="str">
        <x:v>Масса ед., кг</x:v>
      </x:c>
      <x:c r="G5" s="17" t="str">
        <x:v>Масса всего, кг</x:v>
      </x:c>
      <x:c r="H5" s="17" t="str">
        <x:v>Источник</x:v>
      </x:c>
      <x:c r="I5" s="17" t="str">
        <x:v>Основание / статус</x:v>
      </x:c>
      <x:c r="J5" s="17" t="str">
        <x:v>Связь / ID</x:v>
      </x:c>
    </x:row>
    <x:row r="6" ht="58" customHeight="1">
      <x:c r="A6" s="23" t="n">
        <x:v>1</x:v>
      </x:c>
      <x:c r="B6" s="23" t="str">
        <x:v>ЛП3 / 1</x:v>
      </x:c>
      <x:c r="C6" s="23" t="str">
        <x:v>∅10 А500С; L=2550 мм; ГОСТ 34028-2016</x:v>
      </x:c>
      <x:c r="D6" s="23" t="str">
        <x:v>шт</x:v>
      </x:c>
      <x:c r="E6" s="26" t="n">
        <x:f>'04_Ресурсы'!J73</x:f>
        <x:v>7</x:v>
      </x:c>
      <x:c r="F6" s="26" t="n">
        <x:f>IF('04_Ресурсы'!K73="","",'04_Ресурсы'!K73)</x:f>
        <x:v>1.57</x:v>
      </x:c>
      <x:c r="G6" s="26" t="n">
        <x:f>IF('04_Ресурсы'!L73="","",'04_Ресурсы'!L73)</x:f>
        <x:v>10.99</x:v>
      </x:c>
      <x:c r="H6" s="23" t="str">
        <x:v>АС.2 л.62; PDF 72</x:v>
      </x:c>
      <x:c r="I6" s="23" t="str">
        <x:v>По спецификации РД</x:v>
      </x:c>
      <x:c r="J6" s="23" t="str">
        <x:v>L1_ЛП3_F3/1</x:v>
      </x:c>
    </x:row>
    <x:row r="7" ht="58" customHeight="1">
      <x:c r="A7" s="23" t="n">
        <x:v>2</x:v>
      </x:c>
      <x:c r="B7" s="23" t="str">
        <x:v>ЛП3 / 2</x:v>
      </x:c>
      <x:c r="C7" s="23" t="str">
        <x:v>∅10 А500С; L=1180 мм; ГОСТ 34028-2016</x:v>
      </x:c>
      <x:c r="D7" s="23" t="str">
        <x:v>шт</x:v>
      </x:c>
      <x:c r="E7" s="26" t="n">
        <x:f>'04_Ресурсы'!J74</x:f>
        <x:v>1</x:v>
      </x:c>
      <x:c r="F7" s="26" t="n">
        <x:f>IF('04_Ресурсы'!K74="","",'04_Ресурсы'!K74)</x:f>
        <x:v>0.73</x:v>
      </x:c>
      <x:c r="G7" s="26" t="n">
        <x:f>IF('04_Ресурсы'!L74="","",'04_Ресурсы'!L74)</x:f>
        <x:v>0.73</x:v>
      </x:c>
      <x:c r="H7" s="23" t="str">
        <x:v>АС.2 л.62; PDF 72</x:v>
      </x:c>
      <x:c r="I7" s="23" t="str">
        <x:v>По спецификации РД</x:v>
      </x:c>
      <x:c r="J7" s="23" t="str">
        <x:v>L1_ЛП3_F3/2</x:v>
      </x:c>
    </x:row>
    <x:row r="8" ht="58" customHeight="1">
      <x:c r="A8" s="23" t="n">
        <x:v>3</x:v>
      </x:c>
      <x:c r="B8" s="23" t="str">
        <x:v>ЛП3 / 8</x:v>
      </x:c>
      <x:c r="C8" s="23" t="str">
        <x:v>∅10 А500С; L=1350 мм; ГОСТ 34028-2016</x:v>
      </x:c>
      <x:c r="D8" s="23" t="str">
        <x:v>шт</x:v>
      </x:c>
      <x:c r="E8" s="26" t="n">
        <x:f>'04_Ресурсы'!J75</x:f>
        <x:v>7</x:v>
      </x:c>
      <x:c r="F8" s="26" t="n">
        <x:f>IF('04_Ресурсы'!K75="","",'04_Ресурсы'!K75)</x:f>
        <x:v>0.83</x:v>
      </x:c>
      <x:c r="G8" s="26" t="n">
        <x:f>IF('04_Ресурсы'!L75="","",'04_Ресурсы'!L75)</x:f>
        <x:v>5.81</x:v>
      </x:c>
      <x:c r="H8" s="23" t="str">
        <x:v>АС.2 л.65; PDF 75</x:v>
      </x:c>
      <x:c r="I8" s="23" t="str">
        <x:v>Детали каркаса раскрыты, сборочная масса отдельно не суммируется.</x:v>
      </x:c>
      <x:c r="J8" s="23" t="str">
        <x:v>L1_ЛП3_F3/Кр-5/8</x:v>
      </x:c>
    </x:row>
    <x:row r="9" ht="58" customHeight="1">
      <x:c r="A9" s="23" t="n">
        <x:v>4</x:v>
      </x:c>
      <x:c r="B9" s="23" t="str">
        <x:v>ЛП3 / 9</x:v>
      </x:c>
      <x:c r="C9" s="23" t="str">
        <x:v>∅10 А500С; L=1150 мм; ГОСТ 34028-2016</x:v>
      </x:c>
      <x:c r="D9" s="23" t="str">
        <x:v>шт</x:v>
      </x:c>
      <x:c r="E9" s="26" t="n">
        <x:f>'04_Ресурсы'!J76</x:f>
        <x:v>7</x:v>
      </x:c>
      <x:c r="F9" s="26" t="n">
        <x:f>IF('04_Ресурсы'!K76="","",'04_Ресурсы'!K76)</x:f>
        <x:v>0.71</x:v>
      </x:c>
      <x:c r="G9" s="26" t="n">
        <x:f>IF('04_Ресурсы'!L76="","",'04_Ресурсы'!L76)</x:f>
        <x:v>4.97</x:v>
      </x:c>
      <x:c r="H9" s="23" t="str">
        <x:v>АС.2 л.65; PDF 75</x:v>
      </x:c>
      <x:c r="I9" s="23" t="str">
        <x:v>Детали каркаса раскрыты, сборочная масса отдельно не суммируется.</x:v>
      </x:c>
      <x:c r="J9" s="23" t="str">
        <x:v>L1_ЛП3_F3/Кр-5/9</x:v>
      </x:c>
    </x:row>
    <x:row r="10" ht="58" customHeight="1">
      <x:c r="A10" s="23" t="n">
        <x:v>5</x:v>
      </x:c>
      <x:c r="B10" s="23" t="str">
        <x:v>ЛП3 / 3</x:v>
      </x:c>
      <x:c r="C10" s="23" t="str">
        <x:v>∅10 А500С; L=130 мм; ГОСТ 34028-2016</x:v>
      </x:c>
      <x:c r="D10" s="23" t="str">
        <x:v>шт</x:v>
      </x:c>
      <x:c r="E10" s="26" t="n">
        <x:f>'04_Ресурсы'!J77</x:f>
        <x:v>42</x:v>
      </x:c>
      <x:c r="F10" s="26" t="n">
        <x:f>IF('04_Ресурсы'!K77="","",'04_Ресурсы'!K77)</x:f>
        <x:v>0.08</x:v>
      </x:c>
      <x:c r="G10" s="26" t="n">
        <x:f>IF('04_Ресурсы'!L77="","",'04_Ресурсы'!L77)</x:f>
        <x:v>3.36</x:v>
      </x:c>
      <x:c r="H10" s="23" t="str">
        <x:v>АС.2 л.65; PDF 75</x:v>
      </x:c>
      <x:c r="I10" s="23" t="str">
        <x:v>Детали каркаса раскрыты, сборочная масса отдельно не суммируется.</x:v>
      </x:c>
      <x:c r="J10" s="23" t="str">
        <x:v>L1_ЛП3_F3/Кр-5/3</x:v>
      </x:c>
    </x:row>
    <x:row r="11" ht="58" customHeight="1">
      <x:c r="A11" s="23" t="n">
        <x:v>6</x:v>
      </x:c>
      <x:c r="B11" s="23" t="str">
        <x:v>ЛП3 / 10</x:v>
      </x:c>
      <x:c r="C11" s="23" t="str">
        <x:v>∅10 А500С; L=1250 мм; ГОСТ 34028-2016</x:v>
      </x:c>
      <x:c r="D11" s="23" t="str">
        <x:v>шт</x:v>
      </x:c>
      <x:c r="E11" s="26" t="n">
        <x:f>'04_Ресурсы'!J78</x:f>
        <x:v>7</x:v>
      </x:c>
      <x:c r="F11" s="26" t="n">
        <x:f>IF('04_Ресурсы'!K78="","",'04_Ресурсы'!K78)</x:f>
        <x:v>0.77</x:v>
      </x:c>
      <x:c r="G11" s="26" t="n">
        <x:f>IF('04_Ресурсы'!L78="","",'04_Ресурсы'!L78)</x:f>
        <x:v>5.390000000000001</x:v>
      </x:c>
      <x:c r="H11" s="23" t="str">
        <x:v>АС.2 л.65; PDF 75</x:v>
      </x:c>
      <x:c r="I11" s="23" t="str">
        <x:v>Детали каркаса раскрыты, сборочная масса отдельно не суммируется.</x:v>
      </x:c>
      <x:c r="J11" s="23" t="str">
        <x:v>L1_ЛП3_F3/Кр-6/10</x:v>
      </x:c>
    </x:row>
    <x:row r="12" ht="58" customHeight="1">
      <x:c r="A12" s="23" t="n">
        <x:v>7</x:v>
      </x:c>
      <x:c r="B12" s="23" t="str">
        <x:v>ЛП3 / 9</x:v>
      </x:c>
      <x:c r="C12" s="23" t="str">
        <x:v>∅10 А500С; L=1150 мм; ГОСТ 34028-2016</x:v>
      </x:c>
      <x:c r="D12" s="23" t="str">
        <x:v>шт</x:v>
      </x:c>
      <x:c r="E12" s="26" t="n">
        <x:f>'04_Ресурсы'!J79</x:f>
        <x:v>7</x:v>
      </x:c>
      <x:c r="F12" s="26" t="n">
        <x:f>IF('04_Ресурсы'!K79="","",'04_Ресурсы'!K79)</x:f>
        <x:v>0.71</x:v>
      </x:c>
      <x:c r="G12" s="26" t="n">
        <x:f>IF('04_Ресурсы'!L79="","",'04_Ресурсы'!L79)</x:f>
        <x:v>4.97</x:v>
      </x:c>
      <x:c r="H12" s="23" t="str">
        <x:v>АС.2 л.65; PDF 75</x:v>
      </x:c>
      <x:c r="I12" s="23" t="str">
        <x:v>Детали каркаса раскрыты, сборочная масса отдельно не суммируется.</x:v>
      </x:c>
      <x:c r="J12" s="23" t="str">
        <x:v>L1_ЛП3_F3/Кр-6/9</x:v>
      </x:c>
    </x:row>
    <x:row r="13" ht="58" customHeight="1">
      <x:c r="A13" s="23" t="n">
        <x:v>8</x:v>
      </x:c>
      <x:c r="B13" s="23" t="str">
        <x:v>ЛП3 / 3</x:v>
      </x:c>
      <x:c r="C13" s="23" t="str">
        <x:v>∅10 А500С; L=130 мм; ГОСТ 34028-2016</x:v>
      </x:c>
      <x:c r="D13" s="23" t="str">
        <x:v>шт</x:v>
      </x:c>
      <x:c r="E13" s="26" t="n">
        <x:f>'04_Ресурсы'!J80</x:f>
        <x:v>42</x:v>
      </x:c>
      <x:c r="F13" s="26" t="n">
        <x:f>IF('04_Ресурсы'!K80="","",'04_Ресурсы'!K80)</x:f>
        <x:v>0.08</x:v>
      </x:c>
      <x:c r="G13" s="26" t="n">
        <x:f>IF('04_Ресурсы'!L80="","",'04_Ресурсы'!L80)</x:f>
        <x:v>3.36</x:v>
      </x:c>
      <x:c r="H13" s="23" t="str">
        <x:v>АС.2 л.65; PDF 75</x:v>
      </x:c>
      <x:c r="I13" s="23" t="str">
        <x:v>Детали каркаса раскрыты, сборочная масса отдельно не суммируется.</x:v>
      </x:c>
      <x:c r="J13" s="23" t="str">
        <x:v>L1_ЛП3_F3/Кр-6/3</x:v>
      </x:c>
    </x:row>
    <x:row r="14" ht="58" customHeight="1">
      <x:c r="A14" s="23" t="n">
        <x:v>9</x:v>
      </x:c>
      <x:c r="B14" s="23" t="str">
        <x:v>ЛП3 / П-1</x:v>
      </x:c>
      <x:c r="C14" s="23" t="str">
        <x:v>∅10 А500С; L=1300 мм; ГОСТ 34028-2016</x:v>
      </x:c>
      <x:c r="D14" s="23" t="str">
        <x:v>шт</x:v>
      </x:c>
      <x:c r="E14" s="26" t="n">
        <x:f>'04_Ресурсы'!J81</x:f>
        <x:v>7</x:v>
      </x:c>
      <x:c r="F14" s="26" t="n">
        <x:f>IF('04_Ресурсы'!K81="","",'04_Ресурсы'!K81)</x:f>
        <x:v>0.8</x:v>
      </x:c>
      <x:c r="G14" s="26" t="n">
        <x:f>IF('04_Ресурсы'!L81="","",'04_Ресурсы'!L81)</x:f>
        <x:v>5.6000000000000005</x:v>
      </x:c>
      <x:c r="H14" s="23" t="str">
        <x:v>АС.2 л.62; PDF 72</x:v>
      </x:c>
      <x:c r="I14" s="23" t="str">
        <x:v>По спецификации РД</x:v>
      </x:c>
      <x:c r="J14" s="23" t="str">
        <x:v>L1_ЛП3_F3/П-1</x:v>
      </x:c>
    </x:row>
    <x:row r="15" ht="58" customHeight="1">
      <x:c r="A15" s="23" t="n">
        <x:v>10</x:v>
      </x:c>
      <x:c r="B15" s="23" t="str">
        <x:v>ЛП3 / П-2</x:v>
      </x:c>
      <x:c r="C15" s="23" t="str">
        <x:v>∅10 А500С; L=1080 мм; ГОСТ 34028-2016</x:v>
      </x:c>
      <x:c r="D15" s="23" t="str">
        <x:v>шт</x:v>
      </x:c>
      <x:c r="E15" s="26" t="n">
        <x:f>'04_Ресурсы'!J82</x:f>
        <x:v>7</x:v>
      </x:c>
      <x:c r="F15" s="26" t="n">
        <x:f>IF('04_Ресурсы'!K82="","",'04_Ресурсы'!K82)</x:f>
        <x:v>0.67</x:v>
      </x:c>
      <x:c r="G15" s="26" t="n">
        <x:f>IF('04_Ресурсы'!L82="","",'04_Ресурсы'!L82)</x:f>
        <x:v>4.69</x:v>
      </x:c>
      <x:c r="H15" s="23" t="str">
        <x:v>АС.2 л.62; PDF 72</x:v>
      </x:c>
      <x:c r="I15" s="23" t="str">
        <x:v>По спецификации РД</x:v>
      </x:c>
      <x:c r="J15" s="23" t="str">
        <x:v>L1_ЛП3_F3/П-2</x:v>
      </x:c>
    </x:row>
    <x:row r="16" ht="58" customHeight="1">
      <x:c r="A16" s="23" t="n">
        <x:v>11</x:v>
      </x:c>
      <x:c r="B16" s="23" t="str">
        <x:v>ЛП3 / Профлист</x:v>
      </x:c>
      <x:c r="C16" s="23" t="str">
        <x:v>Профлист Н75-750-0,8; ГОСТ 24045-2016</x:v>
      </x:c>
      <x:c r="D16" s="23" t="str">
        <x:v>м²</x:v>
      </x:c>
      <x:c r="E16" s="26" t="n">
        <x:f>'04_Ресурсы'!J83</x:f>
        <x:v>4.7</x:v>
      </x:c>
      <x:c r="F16" s="26" t="str">
        <x:f>IF('04_Ресурсы'!K83="","",'04_Ресурсы'!K83)</x:f>
      </x:c>
      <x:c r="G16" s="26" t="str">
        <x:f>IF('04_Ресурсы'!L83="","",'04_Ресурсы'!L83)</x:f>
      </x:c>
      <x:c r="H16" s="23" t="str">
        <x:v>АС.2 л.62; PDF 72</x:v>
      </x:c>
      <x:c r="I16" s="23" t="str">
        <x:v>Количество по РД; не пересчитывалось по горизонтальной проекции площадки.</x:v>
      </x:c>
      <x:c r="J16" s="23" t="str">
        <x:v>L1_ЛП3_F3/Профлист</x:v>
      </x:c>
    </x:row>
    <x:row r="17" ht="58" customHeight="1">
      <x:c r="A17" s="23" t="n">
        <x:v>12</x:v>
      </x:c>
      <x:c r="B17" s="23" t="str">
        <x:v>ЛП3 / Бетон</x:v>
      </x:c>
      <x:c r="C17" s="23" t="str">
        <x:v>Тяжёлый бетон В25; ГОСТ 26633-2015</x:v>
      </x:c>
      <x:c r="D17" s="23" t="str">
        <x:v>м³</x:v>
      </x:c>
      <x:c r="E17" s="26" t="n">
        <x:f>'04_Ресурсы'!J84</x:f>
        <x:v>0.7</x:v>
      </x:c>
      <x:c r="F17" s="26" t="str">
        <x:f>IF('04_Ресурсы'!K84="","",'04_Ресурсы'!K84)</x:f>
      </x:c>
      <x:c r="G17" s="26" t="str">
        <x:f>IF('04_Ресурсы'!L84="","",'04_Ресурсы'!L84)</x:f>
      </x:c>
      <x:c r="H17" s="23" t="str">
        <x:v>АС.2 л.62; PDF 72</x:v>
      </x:c>
      <x:c r="I17" s="23" t="str">
        <x:v>По спецификации РД</x:v>
      </x:c>
      <x:c r="J17" s="23" t="str">
        <x:v>L1_ЛП3_F3/Бетон</x:v>
      </x:c>
    </x:row>
    <x:row r="18" ht="58" customHeight="1">
      <x:c r="A18" s="23" t="n">
        <x:v>13</x:v>
      </x:c>
      <x:c r="B18" s="23" t="str">
        <x:v>ЛП4 / 1</x:v>
      </x:c>
      <x:c r="C18" s="23" t="str">
        <x:v>∅10 А500С; L=2550 мм; ГОСТ 34028-2016</x:v>
      </x:c>
      <x:c r="D18" s="23" t="str">
        <x:v>шт</x:v>
      </x:c>
      <x:c r="E18" s="26" t="n">
        <x:f>'04_Ресурсы'!J85</x:f>
        <x:v>9</x:v>
      </x:c>
      <x:c r="F18" s="26" t="n">
        <x:f>IF('04_Ресурсы'!K85="","",'04_Ресурсы'!K85)</x:f>
        <x:v>1.57</x:v>
      </x:c>
      <x:c r="G18" s="26" t="n">
        <x:f>IF('04_Ресурсы'!L85="","",'04_Ресурсы'!L85)</x:f>
        <x:v>14.13</x:v>
      </x:c>
      <x:c r="H18" s="23" t="str">
        <x:v>АС.2 л.63; PDF 73</x:v>
      </x:c>
      <x:c r="I18" s="23" t="str">
        <x:v>По спецификации РД</x:v>
      </x:c>
      <x:c r="J18" s="23" t="str">
        <x:v>L1_ЛП4_F3/1</x:v>
      </x:c>
    </x:row>
    <x:row r="19" ht="58" customHeight="1">
      <x:c r="A19" s="23" t="n">
        <x:v>14</x:v>
      </x:c>
      <x:c r="B19" s="23" t="str">
        <x:v>ЛП4 / 11</x:v>
      </x:c>
      <x:c r="C19" s="23" t="str">
        <x:v>∅10 А500С; L=1580 мм; ГОСТ 34028-2016</x:v>
      </x:c>
      <x:c r="D19" s="23" t="str">
        <x:v>шт</x:v>
      </x:c>
      <x:c r="E19" s="26" t="n">
        <x:f>'04_Ресурсы'!J86</x:f>
        <x:v>14</x:v>
      </x:c>
      <x:c r="F19" s="26" t="n">
        <x:f>IF('04_Ресурсы'!K86="","",'04_Ресурсы'!K86)</x:f>
        <x:v>0.97</x:v>
      </x:c>
      <x:c r="G19" s="26" t="n">
        <x:f>IF('04_Ресурсы'!L86="","",'04_Ресурсы'!L86)</x:f>
        <x:v>13.58</x:v>
      </x:c>
      <x:c r="H19" s="23" t="str">
        <x:v>АС.2 л.65; PDF 75</x:v>
      </x:c>
      <x:c r="I19" s="23" t="str">
        <x:v>Детали каркаса раскрыты, сборочная масса отдельно не суммируется.</x:v>
      </x:c>
      <x:c r="J19" s="23" t="str">
        <x:v>L1_ЛП4_F3/Кр-7/11</x:v>
      </x:c>
    </x:row>
    <x:row r="20" ht="58" customHeight="1">
      <x:c r="A20" s="23" t="n">
        <x:v>15</x:v>
      </x:c>
      <x:c r="B20" s="23" t="str">
        <x:v>ЛП4 / 12</x:v>
      </x:c>
      <x:c r="C20" s="23" t="str">
        <x:v>∅10 А500С; L=1500 мм; ГОСТ 34028-2016</x:v>
      </x:c>
      <x:c r="D20" s="23" t="str">
        <x:v>шт</x:v>
      </x:c>
      <x:c r="E20" s="26" t="n">
        <x:f>'04_Ресурсы'!J87</x:f>
        <x:v>14</x:v>
      </x:c>
      <x:c r="F20" s="26" t="n">
        <x:f>IF('04_Ресурсы'!K87="","",'04_Ресурсы'!K87)</x:f>
        <x:v>0.93</x:v>
      </x:c>
      <x:c r="G20" s="26" t="n">
        <x:f>IF('04_Ресурсы'!L87="","",'04_Ресурсы'!L87)</x:f>
        <x:v>13.020000000000001</x:v>
      </x:c>
      <x:c r="H20" s="23" t="str">
        <x:v>АС.2 л.65; PDF 75</x:v>
      </x:c>
      <x:c r="I20" s="23" t="str">
        <x:v>Детали каркаса раскрыты, сборочная масса отдельно не суммируется.</x:v>
      </x:c>
      <x:c r="J20" s="23" t="str">
        <x:v>L1_ЛП4_F3/Кр-7/12</x:v>
      </x:c>
    </x:row>
    <x:row r="21" ht="58" customHeight="1">
      <x:c r="A21" s="23" t="n">
        <x:v>16</x:v>
      </x:c>
      <x:c r="B21" s="23" t="str">
        <x:v>ЛП4 / 3</x:v>
      </x:c>
      <x:c r="C21" s="23" t="str">
        <x:v>∅10 А500С; L=130 мм; ГОСТ 34028-2016</x:v>
      </x:c>
      <x:c r="D21" s="23" t="str">
        <x:v>шт</x:v>
      </x:c>
      <x:c r="E21" s="26" t="n">
        <x:f>'04_Ресурсы'!J88</x:f>
        <x:v>112</x:v>
      </x:c>
      <x:c r="F21" s="26" t="n">
        <x:f>IF('04_Ресурсы'!K88="","",'04_Ресурсы'!K88)</x:f>
        <x:v>0.08</x:v>
      </x:c>
      <x:c r="G21" s="26" t="n">
        <x:f>IF('04_Ресурсы'!L88="","",'04_Ресурсы'!L88)</x:f>
        <x:v>8.96</x:v>
      </x:c>
      <x:c r="H21" s="23" t="str">
        <x:v>АС.2 л.65; PDF 75</x:v>
      </x:c>
      <x:c r="I21" s="23" t="str">
        <x:v>Детали каркаса раскрыты, сборочная масса отдельно не суммируется.</x:v>
      </x:c>
      <x:c r="J21" s="23" t="str">
        <x:v>L1_ЛП4_F3/Кр-7/3</x:v>
      </x:c>
    </x:row>
    <x:row r="22" ht="58" customHeight="1">
      <x:c r="A22" s="23" t="n">
        <x:v>17</x:v>
      </x:c>
      <x:c r="B22" s="23" t="str">
        <x:v>ЛП4 / П-2</x:v>
      </x:c>
      <x:c r="C22" s="23" t="str">
        <x:v>∅10 А500С; L=1080 мм; ГОСТ 34028-2016</x:v>
      </x:c>
      <x:c r="D22" s="23" t="str">
        <x:v>шт</x:v>
      </x:c>
      <x:c r="E22" s="26" t="n">
        <x:f>'04_Ресурсы'!J89</x:f>
        <x:v>14</x:v>
      </x:c>
      <x:c r="F22" s="26" t="n">
        <x:f>IF('04_Ресурсы'!K89="","",'04_Ресурсы'!K89)</x:f>
        <x:v>0.67</x:v>
      </x:c>
      <x:c r="G22" s="26" t="n">
        <x:f>IF('04_Ресурсы'!L89="","",'04_Ресурсы'!L89)</x:f>
        <x:v>9.38</x:v>
      </x:c>
      <x:c r="H22" s="23" t="str">
        <x:v>АС.2 л.63; PDF 73</x:v>
      </x:c>
      <x:c r="I22" s="23" t="str">
        <x:v>По спецификации РД</x:v>
      </x:c>
      <x:c r="J22" s="23" t="str">
        <x:v>L1_ЛП4_F3/П-2</x:v>
      </x:c>
    </x:row>
    <x:row r="23" ht="58" customHeight="1">
      <x:c r="A23" s="23" t="n">
        <x:v>18</x:v>
      </x:c>
      <x:c r="B23" s="23" t="str">
        <x:v>ЛП4 / Профлист</x:v>
      </x:c>
      <x:c r="C23" s="23" t="str">
        <x:v>Профлист Н75-750-0,8; ГОСТ 24045-2016</x:v>
      </x:c>
      <x:c r="D23" s="23" t="str">
        <x:v>м²</x:v>
      </x:c>
      <x:c r="E23" s="26" t="n">
        <x:f>'04_Ресурсы'!J90</x:f>
        <x:v>5.5</x:v>
      </x:c>
      <x:c r="F23" s="26" t="str">
        <x:f>IF('04_Ресурсы'!K90="","",'04_Ресурсы'!K90)</x:f>
      </x:c>
      <x:c r="G23" s="26" t="str">
        <x:f>IF('04_Ресурсы'!L90="","",'04_Ресурсы'!L90)</x:f>
      </x:c>
      <x:c r="H23" s="23" t="str">
        <x:v>АС.2 л.63; PDF 73</x:v>
      </x:c>
      <x:c r="I23" s="23" t="str">
        <x:v>Количество по РД; не пересчитывалось по горизонтальной проекции площадки.</x:v>
      </x:c>
      <x:c r="J23" s="23" t="str">
        <x:v>L1_ЛП4_F3/Профлист</x:v>
      </x:c>
    </x:row>
    <x:row r="24" ht="58" customHeight="1">
      <x:c r="A24" s="23" t="n">
        <x:v>19</x:v>
      </x:c>
      <x:c r="B24" s="23" t="str">
        <x:v>ЛП4 / Бетон</x:v>
      </x:c>
      <x:c r="C24" s="23" t="str">
        <x:v>Тяжёлый бетон В25; ГОСТ 26633-2015</x:v>
      </x:c>
      <x:c r="D24" s="23" t="str">
        <x:v>м³</x:v>
      </x:c>
      <x:c r="E24" s="26" t="n">
        <x:f>'04_Ресурсы'!J91</x:f>
        <x:v>0.8</x:v>
      </x:c>
      <x:c r="F24" s="26" t="str">
        <x:f>IF('04_Ресурсы'!K91="","",'04_Ресурсы'!K91)</x:f>
      </x:c>
      <x:c r="G24" s="26" t="str">
        <x:f>IF('04_Ресурсы'!L91="","",'04_Ресурсы'!L91)</x:f>
      </x:c>
      <x:c r="H24" s="23" t="str">
        <x:v>АС.2 л.63; PDF 73</x:v>
      </x:c>
      <x:c r="I24" s="23" t="str">
        <x:v>По спецификации РД</x:v>
      </x:c>
      <x:c r="J24" s="23" t="str">
        <x:v>L1_ЛП4_F3/Бетон</x:v>
      </x:c>
    </x:row>
    <x:row r="25" ht="58" customHeight="1">
      <x:c r="A25" s="23" t="n">
        <x:v>20</x:v>
      </x:c>
      <x:c r="B25" s="23" t="str">
        <x:v>КС3 / 6</x:v>
      </x:c>
      <x:c r="C25" s="23" t="str">
        <x:v>Швеллер 22П; С245; ГОСТ 8240-97; L=4795 мм</x:v>
      </x:c>
      <x:c r="D25" s="23" t="str">
        <x:v>шт</x:v>
      </x:c>
      <x:c r="E25" s="26" t="n">
        <x:f>'04_Ресурсы'!J143</x:f>
        <x:v>2</x:v>
      </x:c>
      <x:c r="F25" s="26" t="n">
        <x:f>IF('04_Ресурсы'!K143="","",'04_Ресурсы'!K143)</x:f>
        <x:v>100.7</x:v>
      </x:c>
      <x:c r="G25" s="26" t="n">
        <x:f>IF('04_Ресурсы'!L143="","",'04_Ресурсы'!L143)</x:f>
        <x:v>201.4</x:v>
      </x:c>
      <x:c r="H25" s="23" t="str">
        <x:v>АС.2 л.59; PDF 69</x:v>
      </x:c>
      <x:c r="I25" s="23" t="str">
        <x:v>Габарит монтажа и длина заготовки не тождественны. Для КС1 см. RFI-L05.</x:v>
      </x:c>
      <x:c r="J25" s="23" t="str">
        <x:v>L1_КС3_F3/6</x:v>
      </x:c>
    </x:row>
    <x:row r="26" ht="58" customHeight="1">
      <x:c r="A26" s="23" t="n">
        <x:v>21</x:v>
      </x:c>
      <x:c r="B26" s="23" t="str">
        <x:v>КС3 / 2</x:v>
      </x:c>
      <x:c r="C26" s="23" t="str">
        <x:v>Уголок 75×8; С245; ГОСТ 8509-93; L=130 мм</x:v>
      </x:c>
      <x:c r="D26" s="23" t="str">
        <x:v>шт</x:v>
      </x:c>
      <x:c r="E26" s="26" t="n">
        <x:f>'04_Ресурсы'!J144</x:f>
        <x:v>4</x:v>
      </x:c>
      <x:c r="F26" s="26" t="n">
        <x:f>IF('04_Ресурсы'!K144="","",'04_Ресурсы'!K144)</x:f>
        <x:v>1.17</x:v>
      </x:c>
      <x:c r="G26" s="26" t="n">
        <x:f>IF('04_Ресурсы'!L144="","",'04_Ресурсы'!L144)</x:f>
        <x:v>4.68</x:v>
      </x:c>
      <x:c r="H26" s="23" t="str">
        <x:v>АС.2 л.59; PDF 69</x:v>
      </x:c>
      <x:c r="I26" s="23" t="str">
        <x:v>Парные т/н; изготовление зеркальное</x:v>
      </x:c>
      <x:c r="J26" s="23" t="str">
        <x:v>L1_КС3_F3/2</x:v>
      </x:c>
    </x:row>
    <x:row r="27" ht="58" customHeight="1">
      <x:c r="A27" s="23" t="n">
        <x:v>22</x:v>
      </x:c>
      <x:c r="B27" s="23" t="str">
        <x:v>КС3 / 4</x:v>
      </x:c>
      <x:c r="C27" s="23" t="str">
        <x:v>Уголок 40×5; С245; ГОСТ 8509-93; L=80 мм</x:v>
      </x:c>
      <x:c r="D27" s="23" t="str">
        <x:v>шт</x:v>
      </x:c>
      <x:c r="E27" s="26" t="n">
        <x:f>'04_Ресурсы'!J145</x:f>
        <x:v>2</x:v>
      </x:c>
      <x:c r="F27" s="26" t="n">
        <x:f>IF('04_Ресурсы'!K145="","",'04_Ресурсы'!K145)</x:f>
        <x:v>0.24</x:v>
      </x:c>
      <x:c r="G27" s="26" t="n">
        <x:f>IF('04_Ресурсы'!L145="","",'04_Ресурсы'!L145)</x:f>
        <x:v>0.48</x:v>
      </x:c>
      <x:c r="H27" s="23" t="str">
        <x:v>АС.2 л.59; PDF 69</x:v>
      </x:c>
      <x:c r="I27" s="23" t="str">
        <x:v>Парные т/н; изготовление зеркальное</x:v>
      </x:c>
      <x:c r="J27" s="23" t="str">
        <x:v>L1_КС3_F3/4</x:v>
      </x:c>
    </x:row>
    <x:row r="28" ht="58" customHeight="1">
      <x:c r="A28" s="23" t="n">
        <x:v>23</x:v>
      </x:c>
      <x:c r="B28" s="23" t="str">
        <x:v>КС4 / 7</x:v>
      </x:c>
      <x:c r="C28" s="23" t="str">
        <x:v>Швеллер 22П; С245; ГОСТ 8240-97; L=4640 мм</x:v>
      </x:c>
      <x:c r="D28" s="23" t="str">
        <x:v>шт</x:v>
      </x:c>
      <x:c r="E28" s="26" t="n">
        <x:f>'04_Ресурсы'!J146</x:f>
        <x:v>2</x:v>
      </x:c>
      <x:c r="F28" s="26" t="n">
        <x:f>IF('04_Ресурсы'!K146="","",'04_Ресурсы'!K146)</x:f>
        <x:v>97.44</x:v>
      </x:c>
      <x:c r="G28" s="26" t="n">
        <x:f>IF('04_Ресурсы'!L146="","",'04_Ресурсы'!L146)</x:f>
        <x:v>194.88</x:v>
      </x:c>
      <x:c r="H28" s="23" t="str">
        <x:v>АС.2 л.59; PDF 69</x:v>
      </x:c>
      <x:c r="I28" s="23" t="str">
        <x:v>Габарит монтажа и длина заготовки не тождественны. Для КС1 см. RFI-L05.</x:v>
      </x:c>
      <x:c r="J28" s="23" t="str">
        <x:v>L1_КС4_F3/7</x:v>
      </x:c>
    </x:row>
    <x:row r="29" ht="58" customHeight="1">
      <x:c r="A29" s="23" t="n">
        <x:v>24</x:v>
      </x:c>
      <x:c r="B29" s="23" t="str">
        <x:v>КС4 / 2</x:v>
      </x:c>
      <x:c r="C29" s="23" t="str">
        <x:v>Уголок 75×8; С245; ГОСТ 8509-93; L=130 мм</x:v>
      </x:c>
      <x:c r="D29" s="23" t="str">
        <x:v>шт</x:v>
      </x:c>
      <x:c r="E29" s="26" t="n">
        <x:f>'04_Ресурсы'!J147</x:f>
        <x:v>4</x:v>
      </x:c>
      <x:c r="F29" s="26" t="n">
        <x:f>IF('04_Ресурсы'!K147="","",'04_Ресурсы'!K147)</x:f>
        <x:v>1.17</x:v>
      </x:c>
      <x:c r="G29" s="26" t="n">
        <x:f>IF('04_Ресурсы'!L147="","",'04_Ресурсы'!L147)</x:f>
        <x:v>4.68</x:v>
      </x:c>
      <x:c r="H29" s="23" t="str">
        <x:v>АС.2 л.59; PDF 69</x:v>
      </x:c>
      <x:c r="I29" s="23" t="str">
        <x:v>Парные т/н; изготовление зеркальное</x:v>
      </x:c>
      <x:c r="J29" s="23" t="str">
        <x:v>L1_КС4_F3/2</x:v>
      </x:c>
    </x:row>
    <x:row r="30" ht="58" customHeight="1">
      <x:c r="A30" s="23" t="n">
        <x:v>25</x:v>
      </x:c>
      <x:c r="B30" s="23" t="str">
        <x:v>КС4 / 4</x:v>
      </x:c>
      <x:c r="C30" s="23" t="str">
        <x:v>Уголок 40×5; С245; ГОСТ 8509-93; L=80 мм</x:v>
      </x:c>
      <x:c r="D30" s="23" t="str">
        <x:v>шт</x:v>
      </x:c>
      <x:c r="E30" s="26" t="n">
        <x:f>'04_Ресурсы'!J148</x:f>
        <x:v>2</x:v>
      </x:c>
      <x:c r="F30" s="26" t="n">
        <x:f>IF('04_Ресурсы'!K148="","",'04_Ресурсы'!K148)</x:f>
        <x:v>0.24</x:v>
      </x:c>
      <x:c r="G30" s="26" t="n">
        <x:f>IF('04_Ресурсы'!L148="","",'04_Ресурсы'!L148)</x:f>
        <x:v>0.48</x:v>
      </x:c>
      <x:c r="H30" s="23" t="str">
        <x:v>АС.2 л.59; PDF 69</x:v>
      </x:c>
      <x:c r="I30" s="23" t="str">
        <x:v>Парные т/н; изготовление зеркальное</x:v>
      </x:c>
      <x:c r="J30" s="23" t="str">
        <x:v>L1_КС4_F3/4</x:v>
      </x:c>
    </x:row>
    <x:row r="31" ht="58" customHeight="1">
      <x:c r="A31" s="23" t="n">
        <x:v>26</x:v>
      </x:c>
      <x:c r="B31" s="23" t="str">
        <x:v>МБ1 / 1</x:v>
      </x:c>
      <x:c r="C31" s="23" t="str">
        <x:v>Швеллер 27П; С245; ГОСТ 8240-97; L=2830 мм</x:v>
      </x:c>
      <x:c r="D31" s="23" t="str">
        <x:v>шт</x:v>
      </x:c>
      <x:c r="E31" s="26" t="n">
        <x:f>'04_Ресурсы'!J149</x:f>
        <x:v>2</x:v>
      </x:c>
      <x:c r="F31" s="26" t="n">
        <x:f>IF('04_Ресурсы'!K149="","",'04_Ресурсы'!K149)</x:f>
        <x:v>78.39</x:v>
      </x:c>
      <x:c r="G31" s="26" t="n">
        <x:f>IF('04_Ресурсы'!L149="","",'04_Ресурсы'!L149)</x:f>
        <x:v>156.78</x:v>
      </x:c>
      <x:c r="H31" s="23" t="str">
        <x:v>АС.2 л.57; PDF 67</x:v>
      </x:c>
      <x:c r="I31" s="23" t="str">
        <x:v>По спецификации РД</x:v>
      </x:c>
      <x:c r="J31" s="23" t="str">
        <x:v>L1_МБ1_F3/1</x:v>
      </x:c>
    </x:row>
    <x:row r="32" ht="58" customHeight="1">
      <x:c r="A32" s="23" t="n">
        <x:v>27</x:v>
      </x:c>
      <x:c r="B32" s="23" t="str">
        <x:v>МБ1 / 2</x:v>
      </x:c>
      <x:c r="C32" s="23" t="str">
        <x:v>Уголок 100×7; С245; ГОСТ 8509-93; L=200 мм</x:v>
      </x:c>
      <x:c r="D32" s="23" t="str">
        <x:v>шт</x:v>
      </x:c>
      <x:c r="E32" s="26" t="n">
        <x:f>'04_Ресурсы'!J150</x:f>
        <x:v>4</x:v>
      </x:c>
      <x:c r="F32" s="26" t="n">
        <x:f>IF('04_Ресурсы'!K150="","",'04_Ресурсы'!K150)</x:f>
        <x:v>2.16</x:v>
      </x:c>
      <x:c r="G32" s="26" t="n">
        <x:f>IF('04_Ресурсы'!L150="","",'04_Ресурсы'!L150)</x:f>
        <x:v>8.64</x:v>
      </x:c>
      <x:c r="H32" s="23" t="str">
        <x:v>АС.2 л.57; PDF 67</x:v>
      </x:c>
      <x:c r="I32" s="23" t="str">
        <x:v>По спецификации РД</x:v>
      </x:c>
      <x:c r="J32" s="23" t="str">
        <x:v>L1_МБ1_F3/2</x:v>
      </x:c>
    </x:row>
    <x:row r="33" ht="58" customHeight="1">
      <x:c r="A33" s="23" t="n">
        <x:v>28</x:v>
      </x:c>
      <x:c r="B33" s="23" t="str">
        <x:v>МБ2 / 1</x:v>
      </x:c>
      <x:c r="C33" s="23" t="str">
        <x:v>Швеллер 27П; С245; ГОСТ 8240-97; L=2830 мм</x:v>
      </x:c>
      <x:c r="D33" s="23" t="str">
        <x:v>шт</x:v>
      </x:c>
      <x:c r="E33" s="26" t="n">
        <x:f>'04_Ресурсы'!J151</x:f>
        <x:v>1</x:v>
      </x:c>
      <x:c r="F33" s="26" t="n">
        <x:f>IF('04_Ресурсы'!K151="","",'04_Ресурсы'!K151)</x:f>
        <x:v>78.39</x:v>
      </x:c>
      <x:c r="G33" s="26" t="n">
        <x:f>IF('04_Ресурсы'!L151="","",'04_Ресурсы'!L151)</x:f>
        <x:v>78.39</x:v>
      </x:c>
      <x:c r="H33" s="23" t="str">
        <x:v>АС.2 л.57; PDF 67</x:v>
      </x:c>
      <x:c r="I33" s="23" t="str">
        <x:v>По спецификации РД</x:v>
      </x:c>
      <x:c r="J33" s="23" t="str">
        <x:v>L1_МБ2_F3/1</x:v>
      </x:c>
    </x:row>
    <x:row r="34" ht="58" customHeight="1">
      <x:c r="A34" s="23" t="n">
        <x:v>29</x:v>
      </x:c>
      <x:c r="B34" s="23" t="str">
        <x:v>МБ2 / 2</x:v>
      </x:c>
      <x:c r="C34" s="23" t="str">
        <x:v>Уголок 100×7; С245; ГОСТ 8509-93; L=200 мм</x:v>
      </x:c>
      <x:c r="D34" s="23" t="str">
        <x:v>шт</x:v>
      </x:c>
      <x:c r="E34" s="26" t="n">
        <x:f>'04_Ресурсы'!J152</x:f>
        <x:v>2</x:v>
      </x:c>
      <x:c r="F34" s="26" t="n">
        <x:f>IF('04_Ресурсы'!K152="","",'04_Ресурсы'!K152)</x:f>
        <x:v>2.16</x:v>
      </x:c>
      <x:c r="G34" s="26" t="n">
        <x:f>IF('04_Ресурсы'!L152="","",'04_Ресурсы'!L152)</x:f>
        <x:v>4.32</x:v>
      </x:c>
      <x:c r="H34" s="23" t="str">
        <x:v>АС.2 л.57; PDF 67</x:v>
      </x:c>
      <x:c r="I34" s="23" t="str">
        <x:v>По спецификации РД</x:v>
      </x:c>
      <x:c r="J34" s="23" t="str">
        <x:v>L1_МБ2_F3/2</x:v>
      </x:c>
    </x:row>
    <x:row r="35" ht="58" customHeight="1">
      <x:c r="A35" s="23" t="n">
        <x:v>30</x:v>
      </x:c>
      <x:c r="B35" s="23" t="str">
        <x:v>МБ3 / 1</x:v>
      </x:c>
      <x:c r="C35" s="23" t="str">
        <x:v>Швеллер 27П; С245; ГОСТ 8240-97; L=2830 мм</x:v>
      </x:c>
      <x:c r="D35" s="23" t="str">
        <x:v>шт</x:v>
      </x:c>
      <x:c r="E35" s="26" t="n">
        <x:f>'04_Ресурсы'!J153</x:f>
        <x:v>1</x:v>
      </x:c>
      <x:c r="F35" s="26" t="n">
        <x:f>IF('04_Ресурсы'!K153="","",'04_Ресурсы'!K153)</x:f>
        <x:v>78.39</x:v>
      </x:c>
      <x:c r="G35" s="26" t="n">
        <x:f>IF('04_Ресурсы'!L153="","",'04_Ресурсы'!L153)</x:f>
        <x:v>78.39</x:v>
      </x:c>
      <x:c r="H35" s="23" t="str">
        <x:v>АС.2 л.57; PDF 67</x:v>
      </x:c>
      <x:c r="I35" s="23" t="str">
        <x:v>По спецификации РД</x:v>
      </x:c>
      <x:c r="J35" s="23" t="str">
        <x:v>L1_МБ3_F3/1</x:v>
      </x:c>
    </x:row>
    <x:row r="36" ht="58" customHeight="1">
      <x:c r="A36" s="23" t="n">
        <x:v>31</x:v>
      </x:c>
      <x:c r="B36" s="23" t="str">
        <x:v>МБ3 / 2</x:v>
      </x:c>
      <x:c r="C36" s="23" t="str">
        <x:v>Уголок 100×7; С245; ГОСТ 8509-93; L=200 мм</x:v>
      </x:c>
      <x:c r="D36" s="23" t="str">
        <x:v>шт</x:v>
      </x:c>
      <x:c r="E36" s="26" t="n">
        <x:f>'04_Ресурсы'!J154</x:f>
        <x:v>2</x:v>
      </x:c>
      <x:c r="F36" s="26" t="n">
        <x:f>IF('04_Ресурсы'!K154="","",'04_Ресурсы'!K154)</x:f>
        <x:v>2.16</x:v>
      </x:c>
      <x:c r="G36" s="26" t="n">
        <x:f>IF('04_Ресурсы'!L154="","",'04_Ресурсы'!L154)</x:f>
        <x:v>4.32</x:v>
      </x:c>
      <x:c r="H36" s="23" t="str">
        <x:v>АС.2 л.57; PDF 67</x:v>
      </x:c>
      <x:c r="I36" s="23" t="str">
        <x:v>По спецификации РД</x:v>
      </x:c>
      <x:c r="J36" s="23" t="str">
        <x:v>L1_МБ3_F3/2</x:v>
      </x:c>
    </x:row>
    <x:row r="37" ht="58" customHeight="1">
      <x:c r="A37" s="23" t="n">
        <x:v>32</x:v>
      </x:c>
      <x:c r="B37" s="23" t="str">
        <x:v>ЛС1 / Изделие</x:v>
      </x:c>
      <x:c r="C37" s="23" t="str">
        <x:v>Ступень ЛС12; ГОСТ 8717-2016</x:v>
      </x:c>
      <x:c r="D37" s="23" t="str">
        <x:v>шт</x:v>
      </x:c>
      <x:c r="E37" s="26" t="n">
        <x:f>'04_Ресурсы'!J155</x:f>
        <x:v>26</x:v>
      </x:c>
      <x:c r="F37" s="26" t="n">
        <x:f>IF('04_Ресурсы'!K155="","",'04_Ресурсы'!K155)</x:f>
        <x:v>128</x:v>
      </x:c>
      <x:c r="G37" s="26" t="n">
        <x:f>IF('04_Ресурсы'!L155="","",'04_Ресурсы'!L155)</x:f>
        <x:v>3328</x:v>
      </x:c>
      <x:c r="H37" s="23" t="str">
        <x:v>АС.2 л.56; PDF 66</x:v>
      </x:c>
      <x:c r="I37" s="23" t="str">
        <x:v>Единица изделия; количество применяется по реестру экземпляров. Геометрия изделий габаритная.</x:v>
      </x:c>
      <x:c r="J37" s="23" t="str">
        <x:v>L1_ЛС1_F3/Изделие</x:v>
      </x:c>
    </x:row>
    <x:row r="38" ht="58" customHeight="1">
      <x:c r="A38" s="23" t="n">
        <x:v>33</x:v>
      </x:c>
      <x:c r="B38" s="23" t="str">
        <x:v>ОП1 / Изделие</x:v>
      </x:c>
      <x:c r="C38" s="23" t="str">
        <x:v>Опорная подушка ОП1; серия 1.069-1, вып.1</x:v>
      </x:c>
      <x:c r="D38" s="23" t="str">
        <x:v>шт</x:v>
      </x:c>
      <x:c r="E38" s="26" t="n">
        <x:f>'04_Ресурсы'!J156</x:f>
        <x:v>8</x:v>
      </x:c>
      <x:c r="F38" s="26" t="n">
        <x:f>IF('04_Ресурсы'!K156="","",'04_Ресурсы'!K156)</x:f>
        <x:v>33</x:v>
      </x:c>
      <x:c r="G38" s="26" t="n">
        <x:f>IF('04_Ресурсы'!L156="","",'04_Ресурсы'!L156)</x:f>
        <x:v>264</x:v>
      </x:c>
      <x:c r="H38" s="23" t="str">
        <x:v>АС.2 л.56; PDF 66</x:v>
      </x:c>
      <x:c r="I38" s="23" t="str">
        <x:v>Единица изделия; количество применяется по реестру экземпляров. Геометрия изделий габаритная.</x:v>
      </x:c>
      <x:c r="J38" s="23" t="str">
        <x:v>L1_ОП1_F3/Изделие</x:v>
      </x:c>
    </x:row>
    <x:row r="39" ht="58" customHeight="1">
      <x:c r="A39" s="23" t="n">
        <x:v>34</x:v>
      </x:c>
      <x:c r="B39" s="23" t="str">
        <x:v>ПР1 / Изделие</x:v>
      </x:c>
      <x:c r="C39" s="23" t="str">
        <x:v>Перемычка 3ПБ18-8; серия 1.038-1, вып.1</x:v>
      </x:c>
      <x:c r="D39" s="23" t="str">
        <x:v>шт</x:v>
      </x:c>
      <x:c r="E39" s="26" t="n">
        <x:f>'04_Ресурсы'!J157</x:f>
        <x:v>2</x:v>
      </x:c>
      <x:c r="F39" s="26" t="n">
        <x:f>IF('04_Ресурсы'!K157="","",'04_Ресурсы'!K157)</x:f>
        <x:v>119</x:v>
      </x:c>
      <x:c r="G39" s="26" t="n">
        <x:f>IF('04_Ресурсы'!L157="","",'04_Ресурсы'!L157)</x:f>
        <x:v>238</x:v>
      </x:c>
      <x:c r="H39" s="23" t="str">
        <x:v>АС.2 л.56; PDF 66</x:v>
      </x:c>
      <x:c r="I39" s="23" t="str">
        <x:v>Единица изделия; количество применяется по реестру экземпляров. Геометрия изделий габаритная.</x:v>
      </x:c>
      <x:c r="J39" s="23" t="str">
        <x:v>L1_ПР1_F3/Изделие</x:v>
      </x:c>
    </x:row>
    <x:row r="40" ht="88" customHeight="1">
      <x:c r="A40" s="36" t="n">
        <x:v>35</x:v>
      </x:c>
      <x:c r="B40" s="36" t="str">
        <x:v>Кирпичные стены</x:v>
      </x:c>
      <x:c r="C40" s="36" t="str">
        <x:v>Кладка из кирпича КР-р-по 250×120×65/1НФ/100/2,0/35 на растворе М75 (в объёме кладки, не число кирпичей)</x:v>
      </x:c>
      <x:c r="D40" s="36" t="str">
        <x:v>м³</x:v>
      </x:c>
      <x:c r="E40" s="38" t="n">
        <x:f>'06_Контроль3D'!E17</x:f>
        <x:v>16.87875</x:v>
      </x:c>
      <x:c r="F40" s="38"/>
      <x:c r="G40" s="38"/>
      <x:c r="H40" s="36" t="str">
        <x:v>АС.2 л.55</x:v>
      </x:c>
      <x:c r="I40" s="36" t="str">
        <x:v>ПРЕДВАРИТЕЛЬНО по габаритам. Расход кирпича в штуках и раствора отдельно не задан, норматив не подставлялся.</x:v>
      </x:c>
      <x:c r="J40" s="36" t="str">
        <x:v>G_BR_F3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4e2c23dd3f0d4a8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7" hidden="0" customWidth="1"/>
    <x:col min="3" max="3" width="8" hidden="0" customWidth="1"/>
    <x:col min="4" max="4" width="16" hidden="0" customWidth="1"/>
    <x:col min="5" max="5" width="28" hidden="0" customWidth="1"/>
    <x:col min="6" max="6" width="34" hidden="0" customWidth="1"/>
    <x:col min="7" max="7" width="70" hidden="0" customWidth="1"/>
  </x:cols>
  <x:sheetData>
    <x:row r="1" ht="32" customHeight="1">
      <x:c r="A1" s="4" t="str">
        <x:v>Л-1 / ВОР — 3 ЭТАЖ → ВЫХОД НА КРОВЛЮ</x:v>
      </x:c>
      <x:c r="B1" s="4"/>
      <x:c r="C1" s="4"/>
      <x:c r="D1" s="4"/>
      <x:c r="E1" s="4"/>
      <x:c r="F1" s="4"/>
      <x:c r="G1" s="4"/>
    </x:row>
    <x:row r="2" ht="23" customHeight="1">
      <x:c r="A2" s="10" t="str">
        <x:v>Количество с числом — по РД либо явно обозначенному расчёту. Пустое количество означает «требуется уточнение», не ноль. Материал и операция не суммируются как единая потребность.</x:v>
      </x:c>
      <x:c r="B2" s="10"/>
      <x:c r="C2" s="10"/>
      <x:c r="D2" s="10"/>
      <x:c r="E2" s="10"/>
      <x:c r="F2" s="10"/>
      <x:c r="G2" s="10"/>
    </x:row>
    <x:row r="3" ht="23" customHeight="1">
      <x:c r="A3" s="10"/>
      <x:c r="B3" s="10"/>
      <x:c r="C3" s="10"/>
      <x:c r="D3" s="10"/>
      <x:c r="E3" s="10"/>
      <x:c r="F3" s="10"/>
      <x:c r="G3" s="10"/>
    </x:row>
    <x:row r="5" ht="38" customHeight="1">
      <x:c r="A5" s="17" t="str">
        <x:v>№</x:v>
      </x:c>
      <x:c r="B5" s="17" t="str">
        <x:v>Наименование работ</x:v>
      </x:c>
      <x:c r="C5" s="17" t="str">
        <x:v>Ед.</x:v>
      </x:c>
      <x:c r="D5" s="17" t="str">
        <x:v>Количество</x:v>
      </x:c>
      <x:c r="E5" s="17" t="str">
        <x:v>Источник</x:v>
      </x:c>
      <x:c r="F5" s="17" t="str">
        <x:v>Статус объёма</x:v>
      </x:c>
      <x:c r="G5" s="17" t="str">
        <x:v>Расчёт / ограничение</x:v>
      </x:c>
    </x:row>
    <x:row r="6" ht="58" customHeight="1">
      <x:c r="A6" s="23" t="n">
        <x:v>1</x:v>
      </x:c>
      <x:c r="B6" s="23" t="str">
        <x:v>Бетонирование ЛП3: Тяжёлый бетон В25; ГОСТ 26633-2015</x:v>
      </x:c>
      <x:c r="C6" s="23" t="str">
        <x:v>м³</x:v>
      </x:c>
      <x:c r="D6" s="26" t="n">
        <x:f>'04_Ресурсы'!J84</x:f>
        <x:v>0.7</x:v>
      </x:c>
      <x:c r="E6" s="23" t="str">
        <x:v>АС.2 л.62; PDF 72</x:v>
      </x:c>
      <x:c r="F6" s="23" t="str">
        <x:v>По спецификации РД</x:v>
      </x:c>
      <x:c r="G6" s="23" t="str"/>
    </x:row>
    <x:row r="7" ht="58" customHeight="1">
      <x:c r="A7" s="23" t="n">
        <x:v>2</x:v>
      </x:c>
      <x:c r="B7" s="23" t="str">
        <x:v>Бетонирование ЛП4: Тяжёлый бетон В25; ГОСТ 26633-2015</x:v>
      </x:c>
      <x:c r="C7" s="23" t="str">
        <x:v>м³</x:v>
      </x:c>
      <x:c r="D7" s="26" t="n">
        <x:f>'04_Ресурсы'!J91</x:f>
        <x:v>0.8</x:v>
      </x:c>
      <x:c r="E7" s="23" t="str">
        <x:v>АС.2 л.63; PDF 73</x:v>
      </x:c>
      <x:c r="F7" s="23" t="str">
        <x:v>По спецификации РД</x:v>
      </x:c>
      <x:c r="G7" s="23" t="str"/>
    </x:row>
    <x:row r="8" ht="58" customHeight="1">
      <x:c r="A8" s="23" t="n">
        <x:v>3</x:v>
      </x:c>
      <x:c r="B8" s="23" t="str">
        <x:v>Изготовление и установка арматуры, включая детали каркасов и выпуски</x:v>
      </x:c>
      <x:c r="C8" s="23" t="str">
        <x:v>кг</x:v>
      </x:c>
      <x:c r="D8" s="26" t="n">
        <x:f>'04_Ресурсы'!L73+'04_Ресурсы'!L74+'04_Ресурсы'!L75+'04_Ресурсы'!L76+'04_Ресурсы'!L77+'04_Ресурсы'!L78+'04_Ресурсы'!L79+'04_Ресурсы'!L80+'04_Ресурсы'!L81+'04_Ресурсы'!L82+'04_Ресурсы'!L85+'04_Ресурсы'!L86+'04_Ресурсы'!L87+'04_Ресурсы'!L88+'04_Ресурсы'!L89</x:f>
        <x:v>108.94</x:v>
      </x:c>
      <x:c r="E8" s="23" t="str">
        <x:v>Детальные спецификации этажа; см. СП</x:v>
      </x:c>
      <x:c r="F8" s="23" t="str">
        <x:v>Расчёт по единичным массам РД</x:v>
      </x:c>
      <x:c r="G8" s="23" t="str">
        <x:v>Массы спорных позиций не исправлены нормативными аналогами. Выпуски Фп-1 учтены один раз.</x:v>
      </x:c>
    </x:row>
    <x:row r="9" ht="58" customHeight="1">
      <x:c r="A9" s="23" t="n">
        <x:v>4</x:v>
      </x:c>
      <x:c r="B9" s="23" t="str">
        <x:v>Устройство несъёмной опалубки из профлиста Н75-750-0,8</x:v>
      </x:c>
      <x:c r="C9" s="23" t="str">
        <x:v>м²</x:v>
      </x:c>
      <x:c r="D9" s="26" t="n">
        <x:f>'04_Ресурсы'!J83+'04_Ресурсы'!J90</x:f>
        <x:v>10.2</x:v>
      </x:c>
      <x:c r="E9" s="23" t="str">
        <x:v>АС.2 л.60–63</x:v>
      </x:c>
      <x:c r="F9" s="23" t="str">
        <x:v>По спецификации РД</x:v>
      </x:c>
      <x:c r="G9" s="23" t="str">
        <x:v>Профлист крепить к балкам через одну волну; число креплений в РД не дано.</x:v>
      </x:c>
    </x:row>
    <x:row r="10" ht="58" customHeight="1">
      <x:c r="A10" s="23" t="n">
        <x:v>5</x:v>
      </x:c>
      <x:c r="B10" s="23" t="str">
        <x:v>Изготовление металлоконструкций: балки и косоуры</x:v>
      </x:c>
      <x:c r="C10" s="23" t="str">
        <x:v>т</x:v>
      </x:c>
      <x:c r="D10" s="26" t="n">
        <x:f>('04_Ресурсы'!L143+'04_Ресурсы'!L144+'04_Ресурсы'!L145+'04_Ресурсы'!L146+'04_Ресурсы'!L147+'04_Ресурсы'!L148+'04_Ресурсы'!L149+'04_Ресурсы'!L150+'04_Ресурсы'!L151+'04_Ресурсы'!L152+'04_Ресурсы'!L153+'04_Ресурсы'!L154)/1000</x:f>
        <x:v>0.7374400000000001</x:v>
      </x:c>
      <x:c r="E10" s="23" t="str">
        <x:v>АС.2 л.57–59</x:v>
      </x:c>
      <x:c r="F10" s="23" t="str">
        <x:v>Масса по таблицам РД — к согласованию</x:v>
      </x:c>
      <x:c r="G10" s="23" t="str">
        <x:v>Заводские длины/массы КС1 противоречивы. Не заказывать по геометрии 3D.</x:v>
      </x:c>
    </x:row>
    <x:row r="11" ht="58" customHeight="1">
      <x:c r="A11" s="23" t="n">
        <x:v>6</x:v>
      </x:c>
      <x:c r="B11" s="23" t="str">
        <x:v>Монтаж металлоконструкций: балки и косоуры</x:v>
      </x:c>
      <x:c r="C11" s="23" t="str">
        <x:v>т</x:v>
      </x:c>
      <x:c r="D11" s="26" t="n">
        <x:f>('04_Ресурсы'!L143+'04_Ресурсы'!L144+'04_Ресурсы'!L145+'04_Ресурсы'!L146+'04_Ресурсы'!L147+'04_Ресурсы'!L148+'04_Ресурсы'!L149+'04_Ресурсы'!L150+'04_Ресурсы'!L151+'04_Ресурсы'!L152+'04_Ресурсы'!L153+'04_Ресурсы'!L154)/1000</x:f>
        <x:v>0.7374400000000001</x:v>
      </x:c>
      <x:c r="E11" s="23" t="str">
        <x:v>АС.2 л.55–59</x:v>
      </x:c>
      <x:c r="F11" s="23" t="str">
        <x:v>Масса по таблицам РД — к согласованию</x:v>
      </x:c>
      <x:c r="G11" s="23" t="str">
        <x:v>Отдельная операция, не дополнительный объём металла для закупки.</x:v>
      </x:c>
    </x:row>
    <x:row r="12" ht="58" customHeight="1">
      <x:c r="A12" s="23" t="n">
        <x:v>7</x:v>
      </x:c>
      <x:c r="B12" s="23" t="str">
        <x:v>Монтаж сборных ступеней ЛС12</x:v>
      </x:c>
      <x:c r="C12" s="23" t="str">
        <x:v>шт</x:v>
      </x:c>
      <x:c r="D12" s="26" t="n">
        <x:f>'04_Ресурсы'!J155</x:f>
        <x:v>26</x:v>
      </x:c>
      <x:c r="E12" s="23" t="str">
        <x:v>АС.2 л.55,56</x:v>
      </x:c>
      <x:c r="F12" s="23" t="str">
        <x:v>РД 70 шт; этажная разбивка расчётная</x:v>
      </x:c>
      <x:c r="G12" s="23" t="str"/>
    </x:row>
    <x:row r="13" ht="58" customHeight="1">
      <x:c r="A13" s="23" t="n">
        <x:v>8</x:v>
      </x:c>
      <x:c r="B13" s="23" t="str">
        <x:v>Устройство / монтаж опорных подушек ОП1</x:v>
      </x:c>
      <x:c r="C13" s="23" t="str">
        <x:v>шт</x:v>
      </x:c>
      <x:c r="D13" s="26" t="n">
        <x:f>'04_Ресурсы'!J156</x:f>
        <x:v>8</x:v>
      </x:c>
      <x:c r="E13" s="23" t="str">
        <x:v>АС.2 л.55,56</x:v>
      </x:c>
      <x:c r="F13" s="23" t="str">
        <x:v>Количество РД; разбивка по планам</x:v>
      </x:c>
      <x:c r="G13" s="23" t="str"/>
    </x:row>
    <x:row r="14" ht="58" customHeight="1">
      <x:c r="A14" s="23" t="n">
        <x:v>9</x:v>
      </x:c>
      <x:c r="B14" s="23" t="str">
        <x:v>Монтаж перемычек ПР1 — 3ПБ18-8</x:v>
      </x:c>
      <x:c r="C14" s="23" t="str">
        <x:v>шт</x:v>
      </x:c>
      <x:c r="D14" s="26" t="n">
        <x:f>'04_Ресурсы'!J157</x:f>
        <x:v>2</x:v>
      </x:c>
      <x:c r="E14" s="23" t="str">
        <x:v>АС.2 л.55,56</x:v>
      </x:c>
      <x:c r="F14" s="23" t="str">
        <x:v>Количество РД; разбивка по планам</x:v>
      </x:c>
      <x:c r="G14" s="23" t="str"/>
    </x:row>
    <x:row r="15" ht="58" customHeight="1">
      <x:c r="A15" s="36" t="n">
        <x:v>10</x:v>
      </x:c>
      <x:c r="B15" s="36" t="str">
        <x:v>Возведение кирпичной кладки на растворе М75</x:v>
      </x:c>
      <x:c r="C15" s="36" t="str">
        <x:v>м³</x:v>
      </x:c>
      <x:c r="D15" s="38" t="n">
        <x:f>'06_Контроль3D'!E17</x:f>
        <x:v>16.87875</x:v>
      </x:c>
      <x:c r="E15" s="36" t="str">
        <x:v>АС.2 л.55,69; габаритный контроль</x:v>
      </x:c>
      <x:c r="F15" s="36" t="str">
        <x:v>ПРЕДВАРИТЕЛЬНО / не подтверждено</x:v>
      </x:c>
      <x:c r="G15" s="36" t="str">
        <x:v>С вычетом дверей; без вычетов гнёзд ОП и неувязанных перемычек. Уточнить перед КС / закупкой.</x:v>
      </x:c>
    </x:row>
    <x:row r="16" ht="58" customHeight="1">
      <x:c r="A16" s="36" t="n">
        <x:v>11</x:v>
      </x:c>
      <x:c r="B16" s="36" t="str">
        <x:v>Снятие отделки существующих стен перед кладкой</x:v>
      </x:c>
      <x:c r="C16" s="36" t="str">
        <x:v>м²</x:v>
      </x:c>
      <x:c r="D16" s="38"/>
      <x:c r="E16" s="36" t="str">
        <x:v>АС.2 л.55–58</x:v>
      </x:c>
      <x:c r="F16" s="36" t="str">
        <x:v>ТРЕБУЕТСЯ УТОЧНЕНИЕ</x:v>
      </x:c>
      <x:c r="G16" s="36" t="str">
        <x:v>Л.55 п.11, площадь контакта не выделена.</x:v>
      </x:c>
    </x:row>
    <x:row r="17" ht="58" customHeight="1">
      <x:c r="A17" s="36" t="n">
        <x:v>12</x:v>
      </x:c>
      <x:c r="B17" s="36" t="str">
        <x:v>Обрезка / демонтаж существующего перекрытия в зоне Л-1</x:v>
      </x:c>
      <x:c r="C17" s="36" t="str">
        <x:v>м²</x:v>
      </x:c>
      <x:c r="D17" s="38"/>
      <x:c r="E17" s="36" t="str">
        <x:v>АС.2 л.55–58</x:v>
      </x:c>
      <x:c r="F17" s="36" t="str">
        <x:v>ТРЕБУЕТСЯ УТОЧНЕНИЕ</x:v>
      </x:c>
      <x:c r="G17" s="36" t="str">
        <x:v>Площади вычетов базовой 3D не являются согласованным ВОР демонтажа.</x:v>
      </x:c>
    </x:row>
    <x:row r="18" ht="58" customHeight="1">
      <x:c r="A18" s="36" t="n">
        <x:v>13</x:v>
      </x:c>
      <x:c r="B18" s="36" t="str">
        <x:v>Установка временных опор и подмостей</x:v>
      </x:c>
      <x:c r="C18" s="36" t="str">
        <x:v>м²</x:v>
      </x:c>
      <x:c r="D18" s="38"/>
      <x:c r="E18" s="36" t="str">
        <x:v>АС.2 л.55–58</x:v>
      </x:c>
      <x:c r="F18" s="36" t="str">
        <x:v>ТРЕБУЕТСЯ УТОЧНЕНИЕ</x:v>
      </x:c>
      <x:c r="G18" s="36" t="str">
        <x:v>Состав и площадь — по ППР, не назначались.</x:v>
      </x:c>
    </x:row>
    <x:row r="19" ht="58" customHeight="1">
      <x:c r="A19" s="36" t="n">
        <x:v>14</x:v>
      </x:c>
      <x:c r="B19" s="36" t="str">
        <x:v>Грунтование и окраска металлоконструкций эмалью ПФ-115 за 2 раза</x:v>
      </x:c>
      <x:c r="C19" s="36" t="str">
        <x:v>м²</x:v>
      </x:c>
      <x:c r="D19" s="38"/>
      <x:c r="E19" s="36" t="str">
        <x:v>АС.2 л.55–58</x:v>
      </x:c>
      <x:c r="F19" s="36" t="str">
        <x:v>ТРЕБУЕТСЯ УТОЧНЕНИЕ</x:v>
      </x:c>
      <x:c r="G19" s="36" t="str">
        <x:v>Не подменять развёрнутую площадь металла площадью короба огнезащиты.</x:v>
      </x:c>
    </x:row>
    <x:row r="20" ht="58" customHeight="1">
      <x:c r="A20" s="36" t="n">
        <x:v>15</x:v>
      </x:c>
      <x:c r="B20" s="36" t="str">
        <x:v>Ограждения маршей и площадок / поручни</x:v>
      </x:c>
      <x:c r="C20" s="36" t="str">
        <x:v>м</x:v>
      </x:c>
      <x:c r="D20" s="38"/>
      <x:c r="E20" s="36" t="str">
        <x:v>Листы 47–69</x:v>
      </x:c>
      <x:c r="F20" s="36" t="str">
        <x:v>Не специфицировано в диапазоне</x:v>
      </x:c>
      <x:c r="G20" s="36" t="str">
        <x:v>Не назначать длину и марку без профильных чертежей ограждений.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b01662403d854b4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47" hidden="0" customWidth="1"/>
    <x:col min="4" max="4" width="7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  <x:col min="9" max="9" width="60" hidden="0" customWidth="1"/>
    <x:col min="10" max="10" width="32" hidden="0" customWidth="1"/>
  </x:cols>
  <x:sheetData>
    <x:row r="1" ht="32" customHeight="1">
      <x:c r="A1" s="4" t="str">
        <x:v>Л-1 / СПЕЦИФИКАЦИЯ — НАДСТРОЙКА / ПОКРЫТИЕ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10" t="str">
        <x:v>Основные материалы без запаса и стоимости. Арматурные каркасы раскрыты на стержни; массы взяты из РД и проверены арифметически. Жёлтые строки — предварительные или требующие согласования.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8" customHeight="1">
      <x:c r="A5" s="17" t="str">
        <x:v>№</x:v>
      </x:c>
      <x:c r="B5" s="17" t="str">
        <x:v>Конструкция / позиция</x:v>
      </x:c>
      <x:c r="C5" s="17" t="str">
        <x:v>Материал / изделие</x:v>
      </x:c>
      <x:c r="D5" s="17" t="str">
        <x:v>Ед.</x:v>
      </x:c>
      <x:c r="E5" s="17" t="str">
        <x:v>Количество</x:v>
      </x:c>
      <x:c r="F5" s="17" t="str">
        <x:v>Масса ед., кг</x:v>
      </x:c>
      <x:c r="G5" s="17" t="str">
        <x:v>Масса всего, кг</x:v>
      </x:c>
      <x:c r="H5" s="17" t="str">
        <x:v>Источник</x:v>
      </x:c>
      <x:c r="I5" s="17" t="str">
        <x:v>Основание / статус</x:v>
      </x:c>
      <x:c r="J5" s="17" t="str">
        <x:v>Связь / ID</x:v>
      </x:c>
    </x:row>
    <x:row r="6" ht="58" customHeight="1">
      <x:c r="A6" s="23" t="n">
        <x:v>1</x:v>
      </x:c>
      <x:c r="B6" s="23" t="str">
        <x:v>Пп-1 / 1</x:v>
      </x:c>
      <x:c r="C6" s="23" t="str">
        <x:v>∅12 А500С; L=2810 мм; ГОСТ 34028-2016</x:v>
      </x:c>
      <x:c r="D6" s="23" t="str">
        <x:v>шт</x:v>
      </x:c>
      <x:c r="E6" s="26" t="n">
        <x:f>'04_Ресурсы'!J112</x:f>
        <x:v>86</x:v>
      </x:c>
      <x:c r="F6" s="26" t="n">
        <x:f>IF('04_Ресурсы'!K112="","",'04_Ресурсы'!K112)</x:f>
        <x:v>2.5</x:v>
      </x:c>
      <x:c r="G6" s="26" t="n">
        <x:f>IF('04_Ресурсы'!L112="","",'04_Ресурсы'!L112)</x:f>
        <x:v>215</x:v>
      </x:c>
      <x:c r="H6" s="23" t="str">
        <x:v>АС.2 л.69; PDF 79</x:v>
      </x:c>
      <x:c r="I6" s="23" t="str">
        <x:v>Раскладка/отметки/объём не согласованы — RFI-L02.</x:v>
      </x:c>
      <x:c r="J6" s="23" t="str">
        <x:v>L1_Пп-1_RF/1</x:v>
      </x:c>
    </x:row>
    <x:row r="7" ht="58" customHeight="1">
      <x:c r="A7" s="23" t="n">
        <x:v>2</x:v>
      </x:c>
      <x:c r="B7" s="23" t="str">
        <x:v>Пп-1 / 2</x:v>
      </x:c>
      <x:c r="C7" s="23" t="str">
        <x:v>∅12 А500С; L=6950 мм; ГОСТ 34028-2016</x:v>
      </x:c>
      <x:c r="D7" s="23" t="str">
        <x:v>шт</x:v>
      </x:c>
      <x:c r="E7" s="26" t="n">
        <x:f>'04_Ресурсы'!J113</x:f>
        <x:v>36</x:v>
      </x:c>
      <x:c r="F7" s="26" t="n">
        <x:f>IF('04_Ресурсы'!K113="","",'04_Ресурсы'!K113)</x:f>
        <x:v>6.17</x:v>
      </x:c>
      <x:c r="G7" s="26" t="n">
        <x:f>IF('04_Ресурсы'!L113="","",'04_Ресурсы'!L113)</x:f>
        <x:v>222.12</x:v>
      </x:c>
      <x:c r="H7" s="23" t="str">
        <x:v>АС.2 л.69; PDF 79</x:v>
      </x:c>
      <x:c r="I7" s="23" t="str">
        <x:v>Раскладка/отметки/объём не согласованы — RFI-L02.</x:v>
      </x:c>
      <x:c r="J7" s="23" t="str">
        <x:v>L1_Пп-1_RF/2</x:v>
      </x:c>
    </x:row>
    <x:row r="8" ht="58" customHeight="1">
      <x:c r="A8" s="23" t="n">
        <x:v>3</x:v>
      </x:c>
      <x:c r="B8" s="23" t="str">
        <x:v>Пп-1 / 3</x:v>
      </x:c>
      <x:c r="C8" s="23" t="str">
        <x:v>∅16 А500С; L=2050 мм; ГОСТ 34028-2016</x:v>
      </x:c>
      <x:c r="D8" s="23" t="str">
        <x:v>шт</x:v>
      </x:c>
      <x:c r="E8" s="26" t="n">
        <x:f>'04_Ресурсы'!J114</x:f>
        <x:v>19</x:v>
      </x:c>
      <x:c r="F8" s="26" t="n">
        <x:f>IF('04_Ресурсы'!K114="","",'04_Ресурсы'!K114)</x:f>
        <x:v>3.24</x:v>
      </x:c>
      <x:c r="G8" s="26" t="n">
        <x:f>IF('04_Ресурсы'!L114="","",'04_Ресурсы'!L114)</x:f>
        <x:v>61.56</x:v>
      </x:c>
      <x:c r="H8" s="23" t="str">
        <x:v>АС.2 л.69; PDF 79</x:v>
      </x:c>
      <x:c r="I8" s="23" t="str">
        <x:v>Раскладка/отметки/объём не согласованы — RFI-L02.</x:v>
      </x:c>
      <x:c r="J8" s="23" t="str">
        <x:v>L1_Пп-1_RF/3</x:v>
      </x:c>
    </x:row>
    <x:row r="9" ht="58" customHeight="1">
      <x:c r="A9" s="23" t="n">
        <x:v>4</x:v>
      </x:c>
      <x:c r="B9" s="23" t="str">
        <x:v>Пп-1 / П-1</x:v>
      </x:c>
      <x:c r="C9" s="23" t="str">
        <x:v>∅12 А500С; L=1300 мм; ГОСТ 34028-2016</x:v>
      </x:c>
      <x:c r="D9" s="23" t="str">
        <x:v>шт</x:v>
      </x:c>
      <x:c r="E9" s="26" t="n">
        <x:f>'04_Ресурсы'!J115</x:f>
        <x:v>118</x:v>
      </x:c>
      <x:c r="F9" s="26" t="n">
        <x:f>IF('04_Ресурсы'!K115="","",'04_Ресурсы'!K115)</x:f>
        <x:v>1.15</x:v>
      </x:c>
      <x:c r="G9" s="26" t="n">
        <x:f>IF('04_Ресурсы'!L115="","",'04_Ресурсы'!L115)</x:f>
        <x:v>135.7</x:v>
      </x:c>
      <x:c r="H9" s="23" t="str">
        <x:v>АС.2 л.69; PDF 79</x:v>
      </x:c>
      <x:c r="I9" s="23" t="str">
        <x:v>Раскладка/отметки/объём не согласованы — RFI-L02.</x:v>
      </x:c>
      <x:c r="J9" s="23" t="str">
        <x:v>L1_Пп-1_RF/П-1</x:v>
      </x:c>
    </x:row>
    <x:row r="10" ht="58" customHeight="1">
      <x:c r="A10" s="23" t="n">
        <x:v>5</x:v>
      </x:c>
      <x:c r="B10" s="23" t="str">
        <x:v>Пп-1 / Ф-1</x:v>
      </x:c>
      <x:c r="C10" s="23" t="str">
        <x:v>∅10 А240; L=1130 мм; ГОСТ 34028-2016</x:v>
      </x:c>
      <x:c r="D10" s="23" t="str">
        <x:v>шт</x:v>
      </x:c>
      <x:c r="E10" s="26" t="n">
        <x:f>'04_Ресурсы'!J116</x:f>
        <x:v>37</x:v>
      </x:c>
      <x:c r="F10" s="26" t="n">
        <x:f>IF('04_Ресурсы'!K116="","",'04_Ресурсы'!K116)</x:f>
        <x:v>0.7</x:v>
      </x:c>
      <x:c r="G10" s="26" t="n">
        <x:f>IF('04_Ресурсы'!L116="","",'04_Ресурсы'!L116)</x:f>
        <x:v>25.9</x:v>
      </x:c>
      <x:c r="H10" s="23" t="str">
        <x:v>АС.2 л.69; PDF 79</x:v>
      </x:c>
      <x:c r="I10" s="23" t="str">
        <x:v>Раскладка/отметки/объём не согласованы — RFI-L02.</x:v>
      </x:c>
      <x:c r="J10" s="23" t="str">
        <x:v>L1_Пп-1_RF/Ф-1</x:v>
      </x:c>
    </x:row>
    <x:row r="11" ht="58" customHeight="1">
      <x:c r="A11" s="23" t="n">
        <x:v>6</x:v>
      </x:c>
      <x:c r="B11" s="23" t="str">
        <x:v>Пп-1 / Бетон</x:v>
      </x:c>
      <x:c r="C11" s="23" t="str">
        <x:v>Тяжёлый бетон В25; ГОСТ 26633-2015</x:v>
      </x:c>
      <x:c r="D11" s="23" t="str">
        <x:v>м³</x:v>
      </x:c>
      <x:c r="E11" s="26" t="n">
        <x:f>'04_Ресурсы'!J117</x:f>
        <x:v>4.7</x:v>
      </x:c>
      <x:c r="F11" s="26" t="str">
        <x:f>IF('04_Ресурсы'!K117="","",'04_Ресурсы'!K117)</x:f>
      </x:c>
      <x:c r="G11" s="26" t="str">
        <x:f>IF('04_Ресурсы'!L117="","",'04_Ресурсы'!L117)</x:f>
      </x:c>
      <x:c r="H11" s="23" t="str">
        <x:v>АС.2 л.69; PDF 79</x:v>
      </x:c>
      <x:c r="I11" s="23" t="str">
        <x:v>Исходные 4,7 м³ сохранены. Геометрическая проверка не заменяет РД.</x:v>
      </x:c>
      <x:c r="J11" s="23" t="str">
        <x:v>L1_Пп-1_RF/Бетон</x:v>
      </x:c>
    </x:row>
    <x:row r="12" ht="58" customHeight="1">
      <x:c r="A12" s="23" t="n">
        <x:v>7</x:v>
      </x:c>
      <x:c r="B12" s="23" t="str">
        <x:v>ПР3 / Изделие</x:v>
      </x:c>
      <x:c r="C12" s="23" t="str">
        <x:v>Перемычка 5ПБ31-27; серия 1.038-1, вып.1</x:v>
      </x:c>
      <x:c r="D12" s="23" t="str">
        <x:v>шт</x:v>
      </x:c>
      <x:c r="E12" s="26" t="n">
        <x:f>'04_Ресурсы'!J158</x:f>
        <x:v>1</x:v>
      </x:c>
      <x:c r="F12" s="26" t="n">
        <x:f>IF('04_Ресурсы'!K158="","",'04_Ресурсы'!K158)</x:f>
        <x:v>428</x:v>
      </x:c>
      <x:c r="G12" s="26" t="n">
        <x:f>IF('04_Ресурсы'!L158="","",'04_Ресурсы'!L158)</x:f>
        <x:v>428</x:v>
      </x:c>
      <x:c r="H12" s="23" t="str">
        <x:v>АС.2 л.56; PDF 66</x:v>
      </x:c>
      <x:c r="I12" s="23" t="str">
        <x:v>Единица изделия; количество применяется по реестру экземпляров. Геометрия изделий габаритная.</x:v>
      </x:c>
      <x:c r="J12" s="23" t="str">
        <x:v>L1_ПР3_RF/Изделие</x:v>
      </x:c>
    </x:row>
    <x:row r="13" ht="88" customHeight="1">
      <x:c r="A13" s="36" t="n">
        <x:v>8</x:v>
      </x:c>
      <x:c r="B13" s="36" t="str">
        <x:v>Кирпичные стены / парапет</x:v>
      </x:c>
      <x:c r="C13" s="36" t="str">
        <x:v>Кладка из кирпича КР-р-по 250×120×65/1НФ/100/2,0/35 на растворе М75 (в объёме кладки, не число кирпичей)</x:v>
      </x:c>
      <x:c r="D13" s="36" t="str">
        <x:v>м³</x:v>
      </x:c>
      <x:c r="E13" s="38" t="n">
        <x:f>'06_Контроль3D'!E18</x:f>
        <x:v>13.636999999999999</x:v>
      </x:c>
      <x:c r="F13" s="38"/>
      <x:c r="G13" s="38"/>
      <x:c r="H13" s="36" t="str">
        <x:v>АС.2 л.55</x:v>
      </x:c>
      <x:c r="I13" s="36" t="str">
        <x:v>ПРЕДВАРИТЕЛЬНО по габаритам. Расход кирпича в штуках и раствора отдельно не задан, норматив не подставлялся.</x:v>
      </x:c>
      <x:c r="J13" s="36" t="str">
        <x:v>G_BR_RF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c8338c5b8da34ac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7" hidden="0" customWidth="1"/>
    <x:col min="3" max="3" width="8" hidden="0" customWidth="1"/>
    <x:col min="4" max="4" width="16" hidden="0" customWidth="1"/>
    <x:col min="5" max="5" width="28" hidden="0" customWidth="1"/>
    <x:col min="6" max="6" width="34" hidden="0" customWidth="1"/>
    <x:col min="7" max="7" width="70" hidden="0" customWidth="1"/>
  </x:cols>
  <x:sheetData>
    <x:row r="1" ht="32" customHeight="1">
      <x:c r="A1" s="4" t="str">
        <x:v>Л-1 / ВОР — НАДСТРОЙКА / ПОКРЫТИЕ</x:v>
      </x:c>
      <x:c r="B1" s="4"/>
      <x:c r="C1" s="4"/>
      <x:c r="D1" s="4"/>
      <x:c r="E1" s="4"/>
      <x:c r="F1" s="4"/>
      <x:c r="G1" s="4"/>
    </x:row>
    <x:row r="2" ht="23" customHeight="1">
      <x:c r="A2" s="10" t="str">
        <x:v>Количество с числом — по РД либо явно обозначенному расчёту. Пустое количество означает «требуется уточнение», не ноль. Материал и операция не суммируются как единая потребность.</x:v>
      </x:c>
      <x:c r="B2" s="10"/>
      <x:c r="C2" s="10"/>
      <x:c r="D2" s="10"/>
      <x:c r="E2" s="10"/>
      <x:c r="F2" s="10"/>
      <x:c r="G2" s="10"/>
    </x:row>
    <x:row r="3" ht="23" customHeight="1">
      <x:c r="A3" s="10"/>
      <x:c r="B3" s="10"/>
      <x:c r="C3" s="10"/>
      <x:c r="D3" s="10"/>
      <x:c r="E3" s="10"/>
      <x:c r="F3" s="10"/>
      <x:c r="G3" s="10"/>
    </x:row>
    <x:row r="5" ht="38" customHeight="1">
      <x:c r="A5" s="17" t="str">
        <x:v>№</x:v>
      </x:c>
      <x:c r="B5" s="17" t="str">
        <x:v>Наименование работ</x:v>
      </x:c>
      <x:c r="C5" s="17" t="str">
        <x:v>Ед.</x:v>
      </x:c>
      <x:c r="D5" s="17" t="str">
        <x:v>Количество</x:v>
      </x:c>
      <x:c r="E5" s="17" t="str">
        <x:v>Источник</x:v>
      </x:c>
      <x:c r="F5" s="17" t="str">
        <x:v>Статус объёма</x:v>
      </x:c>
      <x:c r="G5" s="17" t="str">
        <x:v>Расчёт / ограничение</x:v>
      </x:c>
    </x:row>
    <x:row r="6" ht="58" customHeight="1">
      <x:c r="A6" s="23" t="n">
        <x:v>1</x:v>
      </x:c>
      <x:c r="B6" s="23" t="str">
        <x:v>Бетонирование Пп-1: Тяжёлый бетон В25; ГОСТ 26633-2015</x:v>
      </x:c>
      <x:c r="C6" s="23" t="str">
        <x:v>м³</x:v>
      </x:c>
      <x:c r="D6" s="26" t="n">
        <x:f>'04_Ресурсы'!J117</x:f>
        <x:v>4.7</x:v>
      </x:c>
      <x:c r="E6" s="23" t="str">
        <x:v>АС.2 л.69; PDF 79</x:v>
      </x:c>
      <x:c r="F6" s="23" t="str">
        <x:v>РД; проверить коллизию</x:v>
      </x:c>
      <x:c r="G6" s="23" t="str">
        <x:v>Исходные 4,7 м³ сохранены. Геометрическая проверка не заменяет РД.</x:v>
      </x:c>
    </x:row>
    <x:row r="7" ht="58" customHeight="1">
      <x:c r="A7" s="23" t="n">
        <x:v>2</x:v>
      </x:c>
      <x:c r="B7" s="23" t="str">
        <x:v>Изготовление и установка арматуры, включая детали каркасов и выпуски</x:v>
      </x:c>
      <x:c r="C7" s="23" t="str">
        <x:v>кг</x:v>
      </x:c>
      <x:c r="D7" s="26" t="n">
        <x:f>'04_Ресурсы'!L112+'04_Ресурсы'!L113+'04_Ресурсы'!L114+'04_Ресурсы'!L115+'04_Ресурсы'!L116</x:f>
        <x:v>660.28</x:v>
      </x:c>
      <x:c r="E7" s="23" t="str">
        <x:v>Детальные спецификации этажа; см. СП</x:v>
      </x:c>
      <x:c r="F7" s="23" t="str">
        <x:v>Расчёт по единичным массам РД</x:v>
      </x:c>
      <x:c r="G7" s="23" t="str">
        <x:v>Массы спорных позиций не исправлены нормативными аналогами. Выпуски Фп-1 учтены один раз.</x:v>
      </x:c>
    </x:row>
    <x:row r="8" ht="58" customHeight="1">
      <x:c r="A8" s="23" t="n">
        <x:v>3</x:v>
      </x:c>
      <x:c r="B8" s="23" t="str">
        <x:v>Монтаж перемычки ПР3 — 5ПБ31-27</x:v>
      </x:c>
      <x:c r="C8" s="23" t="str">
        <x:v>шт</x:v>
      </x:c>
      <x:c r="D8" s="26" t="n">
        <x:f>'04_Ресурсы'!J158</x:f>
        <x:v>1</x:v>
      </x:c>
      <x:c r="E8" s="23" t="str">
        <x:v>АС.2 л.55,56</x:v>
      </x:c>
      <x:c r="F8" s="23" t="str">
        <x:v>Количество РД; разбивка по планам</x:v>
      </x:c>
      <x:c r="G8" s="23" t="str">
        <x:v>Для ПР2/ПР3 уточнить привязку и опирание</x:v>
      </x:c>
    </x:row>
    <x:row r="9" ht="58" customHeight="1">
      <x:c r="A9" s="36" t="n">
        <x:v>4</x:v>
      </x:c>
      <x:c r="B9" s="36" t="str">
        <x:v>Возведение кирпичной кладки на растворе М75 и парапета</x:v>
      </x:c>
      <x:c r="C9" s="36" t="str">
        <x:v>м³</x:v>
      </x:c>
      <x:c r="D9" s="38" t="n">
        <x:f>'06_Контроль3D'!E18</x:f>
        <x:v>13.636999999999999</x:v>
      </x:c>
      <x:c r="E9" s="36" t="str">
        <x:v>АС.2 л.55,69; габаритный контроль</x:v>
      </x:c>
      <x:c r="F9" s="36" t="str">
        <x:v>ПРЕДВАРИТЕЛЬНО / не подтверждено</x:v>
      </x:c>
      <x:c r="G9" s="36" t="str">
        <x:v>С вычетом дверей; без вычетов гнёзд ОП и неувязанных перемычек. Уточнить перед КС / закупкой.</x:v>
      </x:c>
    </x:row>
    <x:row r="10" ht="58" customHeight="1">
      <x:c r="A10" s="36" t="n">
        <x:v>5</x:v>
      </x:c>
      <x:c r="B10" s="36" t="str">
        <x:v>Устройство и снятие опалубки Пп-1, обрамление отверстия</x:v>
      </x:c>
      <x:c r="C10" s="36" t="str">
        <x:v>м²</x:v>
      </x:c>
      <x:c r="D10" s="38"/>
      <x:c r="E10" s="36" t="str">
        <x:v>АС.2 л.69</x:v>
      </x:c>
      <x:c r="F10" s="36" t="str">
        <x:v>ТРЕБУЕТСЯ УТОЧНЕНИЕ</x:v>
      </x:c>
      <x:c r="G10" s="36" t="str">
        <x:v>Отметки, толщина и отверстие 700/750 не согласованы.</x:v>
      </x:c>
    </x:row>
    <x:row r="11" ht="58" customHeight="1">
      <x:c r="A11" s="36" t="n">
        <x:v>6</x:v>
      </x:c>
      <x:c r="B11" s="36" t="str">
        <x:v>Кровельный пирог и примыкания надстройки</x:v>
      </x:c>
      <x:c r="C11" s="36" t="str">
        <x:v>м²</x:v>
      </x:c>
      <x:c r="D11" s="38"/>
      <x:c r="E11" s="36" t="str">
        <x:v>АР л.9; вне основного диапазона</x:v>
      </x:c>
      <x:c r="F11" s="36" t="str">
        <x:v>Отдельный кровельный ВОР</x:v>
      </x:c>
      <x:c r="G11" s="36" t="str">
        <x:v>Не прибавлять общую площадь кровли типа 2 целиком к лестнице Л-1.</x:v>
      </x:c>
    </x:row>
    <x:row r="12" ht="58" customHeight="1">
      <x:c r="A12" s="36" t="n">
        <x:v>7</x:v>
      </x:c>
      <x:c r="B12" s="36" t="str">
        <x:v>Ограждения маршей и площадок / поручни</x:v>
      </x:c>
      <x:c r="C12" s="36" t="str">
        <x:v>м</x:v>
      </x:c>
      <x:c r="D12" s="38"/>
      <x:c r="E12" s="36" t="str">
        <x:v>Листы 47–69</x:v>
      </x:c>
      <x:c r="F12" s="36" t="str">
        <x:v>Не специфицировано в диапазоне</x:v>
      </x:c>
      <x:c r="G12" s="36" t="str">
        <x:v>Не назначать длину и марку без профильных чертежей ограждений.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effecd2c13524a0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47" hidden="0" customWidth="1"/>
    <x:col min="4" max="4" width="7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  <x:col min="9" max="9" width="60" hidden="0" customWidth="1"/>
    <x:col min="10" max="10" width="32" hidden="0" customWidth="1"/>
  </x:cols>
  <x:sheetData>
    <x:row r="1" ht="32" customHeight="1">
      <x:c r="A1" s="4" t="str">
        <x:v>Л-1 / СПЕЦИФИКАЦИЯ — ОБЩИЕ / НЕ РАЗНЕСЕНЫ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10" t="str">
        <x:v>Основные материалы без запаса и стоимости. Арматурные каркасы раскрыты на стержни; массы взяты из РД и проверены арифметически. Жёлтые строки — предварительные или требующие согласования.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8" customHeight="1">
      <x:c r="A5" s="17" t="str">
        <x:v>№</x:v>
      </x:c>
      <x:c r="B5" s="17" t="str">
        <x:v>Конструкция / позиция</x:v>
      </x:c>
      <x:c r="C5" s="17" t="str">
        <x:v>Материал / изделие</x:v>
      </x:c>
      <x:c r="D5" s="17" t="str">
        <x:v>Ед.</x:v>
      </x:c>
      <x:c r="E5" s="17" t="str">
        <x:v>Количество</x:v>
      </x:c>
      <x:c r="F5" s="17" t="str">
        <x:v>Масса ед., кг</x:v>
      </x:c>
      <x:c r="G5" s="17" t="str">
        <x:v>Масса всего, кг</x:v>
      </x:c>
      <x:c r="H5" s="17" t="str">
        <x:v>Источник</x:v>
      </x:c>
      <x:c r="I5" s="17" t="str">
        <x:v>Основание / статус</x:v>
      </x:c>
      <x:c r="J5" s="17" t="str">
        <x:v>Связь / ID</x:v>
      </x:c>
    </x:row>
    <x:row r="6" ht="58" customHeight="1">
      <x:c r="A6" s="23" t="n">
        <x:v>1</x:v>
      </x:c>
      <x:c r="B6" s="23" t="str">
        <x:v>Крепёж / Болт</x:v>
      </x:c>
      <x:c r="C6" s="23" t="str">
        <x:v>Болт M16×50-8.8; ГОСТ Р ИСО 4017</x:v>
      </x:c>
      <x:c r="D6" s="23" t="str">
        <x:v>шт</x:v>
      </x:c>
      <x:c r="E6" s="26" t="n">
        <x:f>'04_Ресурсы'!J160</x:f>
        <x:v>52</x:v>
      </x:c>
      <x:c r="F6" s="26" t="str">
        <x:f>IF('04_Ресурсы'!K160="","",'04_Ресурсы'!K160)</x:f>
      </x:c>
      <x:c r="G6" s="26" t="str">
        <x:f>IF('04_Ресурсы'!L160="","",'04_Ресурсы'!L160)</x:f>
      </x:c>
      <x:c r="H6" s="23" t="str">
        <x:v>АС.2 л.56; PDF 66</x:v>
      </x:c>
      <x:c r="I6" s="23" t="str">
        <x:v>БСР отнесены к 1 этажу; остальные оставлены общими, без произвольной поэтажной разбивки.</x:v>
      </x:c>
      <x:c r="J6" s="23" t="str">
        <x:v>L1_Крепёж/Болт</x:v>
      </x:c>
    </x:row>
    <x:row r="7" ht="58" customHeight="1">
      <x:c r="A7" s="23" t="n">
        <x:v>2</x:v>
      </x:c>
      <x:c r="B7" s="23" t="str">
        <x:v>Крепёж / Шайба</x:v>
      </x:c>
      <x:c r="C7" s="23" t="str">
        <x:v>Шайба M16; ГОСТ 11371-78</x:v>
      </x:c>
      <x:c r="D7" s="23" t="str">
        <x:v>шт</x:v>
      </x:c>
      <x:c r="E7" s="26" t="n">
        <x:f>'04_Ресурсы'!J161</x:f>
        <x:v>104</x:v>
      </x:c>
      <x:c r="F7" s="26" t="str">
        <x:f>IF('04_Ресурсы'!K161="","",'04_Ресурсы'!K161)</x:f>
      </x:c>
      <x:c r="G7" s="26" t="str">
        <x:f>IF('04_Ресурсы'!L161="","",'04_Ресурсы'!L161)</x:f>
      </x:c>
      <x:c r="H7" s="23" t="str">
        <x:v>АС.2 л.56; PDF 66</x:v>
      </x:c>
      <x:c r="I7" s="23" t="str">
        <x:v>БСР отнесены к 1 этажу; остальные оставлены общими, без произвольной поэтажной разбивки.</x:v>
      </x:c>
      <x:c r="J7" s="23" t="str">
        <x:v>L1_Крепёж/Шайба</x:v>
      </x:c>
    </x:row>
    <x:row r="8" ht="58" customHeight="1">
      <x:c r="A8" s="23" t="n">
        <x:v>3</x:v>
      </x:c>
      <x:c r="B8" s="23" t="str">
        <x:v>Крепёж / Гайка</x:v>
      </x:c>
      <x:c r="C8" s="23" t="str">
        <x:v>Гайка M16-8; ИСО 4032</x:v>
      </x:c>
      <x:c r="D8" s="23" t="str">
        <x:v>шт</x:v>
      </x:c>
      <x:c r="E8" s="26" t="n">
        <x:f>'04_Ресурсы'!J162</x:f>
        <x:v>104</x:v>
      </x:c>
      <x:c r="F8" s="26" t="str">
        <x:f>IF('04_Ресурсы'!K162="","",'04_Ресурсы'!K162)</x:f>
      </x:c>
      <x:c r="G8" s="26" t="str">
        <x:f>IF('04_Ресурсы'!L162="","",'04_Ресурсы'!L162)</x:f>
      </x:c>
      <x:c r="H8" s="23" t="str">
        <x:v>АС.2 л.56; PDF 66</x:v>
      </x:c>
      <x:c r="I8" s="23" t="str">
        <x:v>БСР отнесены к 1 этажу; остальные оставлены общими, без произвольной поэтажной разбивки.</x:v>
      </x:c>
      <x:c r="J8" s="23" t="str">
        <x:v>L1_Крепёж/Гайка</x:v>
      </x:c>
    </x:row>
    <x:row r="9" ht="58" customHeight="1">
      <x:c r="A9" s="23" t="n">
        <x:v>4</x:v>
      </x:c>
      <x:c r="B9" s="23" t="str">
        <x:v>Огнезащита / Балки</x:v>
      </x:c>
      <x:c r="C9" s="23" t="str">
        <x:v>Огнезащитная облицовка балок R60; КНАУФ-Файерборд 12,5 мм, 2 слоя</x:v>
      </x:c>
      <x:c r="D9" s="23" t="str">
        <x:v>м²</x:v>
      </x:c>
      <x:c r="E9" s="26" t="n">
        <x:f>'04_Ресурсы'!J163</x:f>
        <x:v>15.6</x:v>
      </x:c>
      <x:c r="F9" s="26" t="str">
        <x:f>IF('04_Ресурсы'!K163="","",'04_Ресурсы'!K163)</x:f>
      </x:c>
      <x:c r="G9" s="26" t="str">
        <x:f>IF('04_Ресурсы'!L163="","",'04_Ресурсы'!L163)</x:f>
      </x:c>
      <x:c r="H9" s="23" t="str">
        <x:v>АС.2 л.70; PDF 80</x:v>
      </x:c>
      <x:c r="I9" s="23" t="str">
        <x:v>Дополнение вне 47–69 по прямой ссылке л.55. Площадь поверхности короба, не двух слоёв.</x:v>
      </x:c>
      <x:c r="J9" s="23" t="str">
        <x:v>L1_Огнезащита/Балки</x:v>
      </x:c>
    </x:row>
    <x:row r="10" ht="58" customHeight="1">
      <x:c r="A10" s="23" t="n">
        <x:v>5</x:v>
      </x:c>
      <x:c r="B10" s="23" t="str">
        <x:v>Огнезащита / Косоуры</x:v>
      </x:c>
      <x:c r="C10" s="23" t="str">
        <x:v>Огнезащитная облицовка косоуров R60; КНАУФ-Файерборд 12,5 мм, 2 слоя</x:v>
      </x:c>
      <x:c r="D10" s="23" t="str">
        <x:v>м²</x:v>
      </x:c>
      <x:c r="E10" s="26" t="n">
        <x:f>'04_Ресурсы'!J164</x:f>
        <x:v>26.7</x:v>
      </x:c>
      <x:c r="F10" s="26" t="str">
        <x:f>IF('04_Ресурсы'!K164="","",'04_Ресурсы'!K164)</x:f>
      </x:c>
      <x:c r="G10" s="26" t="str">
        <x:f>IF('04_Ресурсы'!L164="","",'04_Ресурсы'!L164)</x:f>
      </x:c>
      <x:c r="H10" s="23" t="str">
        <x:v>АС.2 л.70; PDF 80</x:v>
      </x:c>
      <x:c r="I10" s="23" t="str">
        <x:v>Общая позиция. Раскладка и распределение поверхностей по этажам в РД не приведены.</x:v>
      </x:c>
      <x:c r="J10" s="23" t="str">
        <x:v>L1_Огнезащита/Косоуры</x:v>
      </x:c>
    </x:row>
    <x:row r="11" ht="58" customHeight="1">
      <x:c r="A11" s="36" t="n">
        <x:v>6</x:v>
      </x:c>
      <x:c r="B11" s="36" t="str">
        <x:v>Огнезащита — материал</x:v>
      </x:c>
      <x:c r="C11" s="36" t="str">
        <x:v>КНАУФ-Файерборд 12,5 мм; нетто на два слоя</x:v>
      </x:c>
      <x:c r="D11" s="36" t="str">
        <x:v>м²</x:v>
      </x:c>
      <x:c r="E11" s="38" t="n">
        <x:f>SUMIF('04_Ресурсы'!M6:M164,"Огнезащита",'04_Ресурсы'!J6:J164)*'05_Размеры'!$B$48</x:f>
        <x:v>84.6</x:v>
      </x:c>
      <x:c r="F11" s="38"/>
      <x:c r="G11" s="38"/>
      <x:c r="H11" s="36" t="str">
        <x:v>АС.2 л.70; дополнение</x:v>
      </x:c>
      <x:c r="I11" s="36" t="str">
        <x:v>Расчёт 2 × площадь трёхстороннего короба. Без отходов, раскладки и крепежа. Не суммировать с площадью работ.</x:v>
      </x:c>
      <x:c r="J11" s="36" t="str">
        <x:v>R60_BOARDS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cdade6fe1e264d06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7" hidden="0" customWidth="1"/>
    <x:col min="3" max="3" width="8" hidden="0" customWidth="1"/>
    <x:col min="4" max="4" width="16" hidden="0" customWidth="1"/>
    <x:col min="5" max="5" width="28" hidden="0" customWidth="1"/>
    <x:col min="6" max="6" width="34" hidden="0" customWidth="1"/>
    <x:col min="7" max="7" width="70" hidden="0" customWidth="1"/>
  </x:cols>
  <x:sheetData>
    <x:row r="1" ht="32" customHeight="1">
      <x:c r="A1" s="4" t="str">
        <x:v>Л-1 / ВОР — ОБЩИЕ / НЕ РАЗНЕСЕНЫ</x:v>
      </x:c>
      <x:c r="B1" s="4"/>
      <x:c r="C1" s="4"/>
      <x:c r="D1" s="4"/>
      <x:c r="E1" s="4"/>
      <x:c r="F1" s="4"/>
      <x:c r="G1" s="4"/>
    </x:row>
    <x:row r="2" ht="23" customHeight="1">
      <x:c r="A2" s="10" t="str">
        <x:v>Количество с числом — по РД либо явно обозначенному расчёту. Пустое количество означает «требуется уточнение», не ноль. Материал и операция не суммируются как единая потребность.</x:v>
      </x:c>
      <x:c r="B2" s="10"/>
      <x:c r="C2" s="10"/>
      <x:c r="D2" s="10"/>
      <x:c r="E2" s="10"/>
      <x:c r="F2" s="10"/>
      <x:c r="G2" s="10"/>
    </x:row>
    <x:row r="3" ht="23" customHeight="1">
      <x:c r="A3" s="10"/>
      <x:c r="B3" s="10"/>
      <x:c r="C3" s="10"/>
      <x:c r="D3" s="10"/>
      <x:c r="E3" s="10"/>
      <x:c r="F3" s="10"/>
      <x:c r="G3" s="10"/>
    </x:row>
    <x:row r="5" ht="38" customHeight="1">
      <x:c r="A5" s="17" t="str">
        <x:v>№</x:v>
      </x:c>
      <x:c r="B5" s="17" t="str">
        <x:v>Наименование работ</x:v>
      </x:c>
      <x:c r="C5" s="17" t="str">
        <x:v>Ед.</x:v>
      </x:c>
      <x:c r="D5" s="17" t="str">
        <x:v>Количество</x:v>
      </x:c>
      <x:c r="E5" s="17" t="str">
        <x:v>Источник</x:v>
      </x:c>
      <x:c r="F5" s="17" t="str">
        <x:v>Статус объёма</x:v>
      </x:c>
      <x:c r="G5" s="17" t="str">
        <x:v>Расчёт / ограничение</x:v>
      </x:c>
    </x:row>
    <x:row r="6" ht="58" customHeight="1">
      <x:c r="A6" s="23" t="n">
        <x:v>1</x:v>
      </x:c>
      <x:c r="B6" s="23" t="str">
        <x:v>Огнезащитная облицовка балок R60; КНАУФ-Файерборд 12,5 мм, 2 слоя</x:v>
      </x:c>
      <x:c r="C6" s="23" t="str">
        <x:v>м²</x:v>
      </x:c>
      <x:c r="D6" s="26" t="n">
        <x:f>'04_Ресурсы'!J163</x:f>
        <x:v>15.6</x:v>
      </x:c>
      <x:c r="E6" s="23" t="str">
        <x:v>АС.2 л.70, PDF 80 — дополнение</x:v>
      </x:c>
      <x:c r="F6" s="23" t="str">
        <x:v>Общее, не разнесено по этажам</x:v>
      </x:c>
      <x:c r="G6" s="23" t="str">
        <x:v>Лист вне запрошенного диапазона, включён по ссылке л.55. Число креплений не задано.</x:v>
      </x:c>
    </x:row>
    <x:row r="7" ht="58" customHeight="1">
      <x:c r="A7" s="23" t="n">
        <x:v>2</x:v>
      </x:c>
      <x:c r="B7" s="23" t="str">
        <x:v>Огнезащитная облицовка косоуров R60; КНАУФ-Файерборд 12,5 мм, 2 слоя</x:v>
      </x:c>
      <x:c r="C7" s="23" t="str">
        <x:v>м²</x:v>
      </x:c>
      <x:c r="D7" s="26" t="n">
        <x:f>'04_Ресурсы'!J164</x:f>
        <x:v>26.7</x:v>
      </x:c>
      <x:c r="E7" s="23" t="str">
        <x:v>АС.2 л.70, PDF 80 — дополнение</x:v>
      </x:c>
      <x:c r="F7" s="23" t="str">
        <x:v>Общее, не разнесено по этажам</x:v>
      </x:c>
      <x:c r="G7" s="23" t="str">
        <x:v>Лист вне запрошенного диапазона, включён по ссылке л.55. Число креплений не задано.</x:v>
      </x:c>
    </x:row>
    <x:row r="8" ht="58" customHeight="1">
      <x:c r="A8" s="36" t="n">
        <x:v>3</x:v>
      </x:c>
      <x:c r="B8" s="36" t="str">
        <x:v>Поставка / установка соединительного крепежа M16</x:v>
      </x:c>
      <x:c r="C8" s="36" t="str">
        <x:v>компл</x:v>
      </x:c>
      <x:c r="D8" s="38"/>
      <x:c r="E8" s="36" t="str">
        <x:v>АС.2 л.56</x:v>
      </x:c>
      <x:c r="F8" s="36" t="str">
        <x:v>Требуется поузловая ведомость</x:v>
      </x:c>
      <x:c r="G8" s="36" t="str">
        <x:v>Состав: 52 болта M16×50, 104 шайбы, 104 гайки. Болты БСР 4 шт учтены в СП 1 этажа. Комплектность не приравнивается произвольно к 1 комплекту.</x:v>
      </x:c>
    </x:row>
    <x:row r="9" ht="58" customHeight="1">
      <x:c r="A9" s="36" t="n">
        <x:v>4</x:v>
      </x:c>
      <x:c r="B9" s="36" t="str">
        <x:v>Ограждения маршей и площадок / поручни</x:v>
      </x:c>
      <x:c r="C9" s="36" t="str">
        <x:v>м</x:v>
      </x:c>
      <x:c r="D9" s="38"/>
      <x:c r="E9" s="36" t="str">
        <x:v>Листы 47–69</x:v>
      </x:c>
      <x:c r="F9" s="36" t="str">
        <x:v>Не специфицировано в диапазоне</x:v>
      </x:c>
      <x:c r="G9" s="36" t="str">
        <x:v>Не назначать длину и марку без профильных чертежей ограждений.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5aa17f4567ac48e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15" hidden="0" customWidth="1"/>
    <x:col min="11" max="11" width="16" hidden="0" customWidth="1"/>
    <x:col min="12" max="12" width="21" hidden="0" customWidth="1"/>
    <x:col min="13" max="13" width="21" hidden="0" customWidth="1"/>
  </x:cols>
  <x:sheetData>
    <x:row r="1" ht="32" customHeight="1">
      <x:c r="A1" s="4" t="str">
        <x:v>Л-1 / СВОДНАЯ ВЕДОМОСТЬ ПО ЭТАЖАМ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10" t="str">
        <x:v>Главный учёт — по детальным спецификациям. Красные расхождения в «03_Спец_РД», нерешённые вопросы — «20_Вопросы_РД». Кладка предварительная; огнезащита л.70 дана отдельно как дополнение.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8" customHeight="1">
      <x:c r="A5" s="17" t="str">
        <x:v>Код</x:v>
      </x:c>
      <x:c r="B5" s="17" t="str">
        <x:v>Этаж / участок</x:v>
      </x:c>
      <x:c r="C5" s="17" t="str">
        <x:v>Бетон В25, м³</x:v>
      </x:c>
      <x:c r="D5" s="17" t="str">
        <x:v>Подготовка В7,5, м³</x:v>
      </x:c>
      <x:c r="E5" s="17" t="str">
        <x:v>Арматура, кг</x:v>
      </x:c>
      <x:c r="F5" s="17" t="str">
        <x:v>Металлопрокат, кг</x:v>
      </x:c>
      <x:c r="G5" s="17" t="str">
        <x:v>Профлист, м²</x:v>
      </x:c>
      <x:c r="H5" s="17" t="str">
        <x:v>Ступени, шт</x:v>
      </x:c>
      <x:c r="I5" s="17" t="str">
        <x:v>Балки, шт</x:v>
      </x:c>
      <x:c r="J5" s="17" t="str">
        <x:v>Косоуры, шт</x:v>
      </x:c>
      <x:c r="K5" s="17" t="str">
        <x:v>Площадки, шт</x:v>
      </x:c>
      <x:c r="L5" s="17" t="str">
        <x:v>Кладка предв., м³</x:v>
      </x:c>
      <x:c r="M5" s="17" t="str">
        <x:v>Огнезащита доп., м²</x:v>
      </x:c>
    </x:row>
    <x:row r="6" ht="54" customHeight="1">
      <x:c r="A6" s="23" t="str">
        <x:v>P0</x:v>
      </x:c>
      <x:c r="B6" s="23" t="str">
        <x:v>Подземная часть</x:v>
      </x:c>
      <x:c r="C6" s="26" t="n">
        <x:f>SUMIFS('04_Ресурсы'!$J$6:$J$164,'04_Ресурсы'!$B$6:$B$164,A6,'04_Ресурсы'!$M$6:$M$164,"Бетон В25")</x:f>
        <x:v>22.5</x:v>
      </x:c>
      <x:c r="D6" s="26" t="n">
        <x:f>SUMIFS('04_Ресурсы'!$J$6:$J$164,'04_Ресурсы'!$B$6:$B$164,A6,'04_Ресурсы'!$M$6:$M$164,"Бетон В7,5")</x:f>
        <x:v>4.3</x:v>
      </x:c>
      <x:c r="E6" s="26" t="n">
        <x:f>SUMIFS('04_Ресурсы'!$L$6:$L$164,'04_Ресурсы'!$B$6:$B$164,A6,'04_Ресурсы'!$M$6:$M$164,"Арматура")</x:f>
        <x:v>2567.44</x:v>
      </x:c>
      <x:c r="F6" s="26" t="n">
        <x:f>SUMIFS('04_Ресурсы'!$L$6:$L$164,'04_Ресурсы'!$B$6:$B$164,A6,'04_Ресурсы'!$M$6:$M$164,"Металлопрокат")</x:f>
        <x:v>0</x:v>
      </x:c>
      <x:c r="G6" s="26" t="n">
        <x:f>SUMIFS('04_Ресурсы'!$J$6:$J$164,'04_Ресурсы'!$B$6:$B$164,A6,'04_Ресурсы'!$M$6:$M$164,"Профлист")</x:f>
        <x:v>0</x:v>
      </x:c>
      <x:c r="H6" s="40" t="n">
        <x:f>SUMIFS('02_Экземпляры'!$F$6:$F$42,'02_Экземпляры'!$B$6:$B$42,A6,'02_Экземпляры'!$D$6:$D$42,"ЛС1")</x:f>
        <x:v>0</x:v>
      </x:c>
      <x:c r="I6" s="40" t="n">
        <x:f>SUMIFS('02_Экземпляры'!$F$6:$F$42,'02_Экземпляры'!$B$6:$B$42,A6,'02_Экземпляры'!$D$6:$D$42,"МБ1")+SUMIFS('02_Экземпляры'!$F$6:$F$42,'02_Экземпляры'!$B$6:$B$42,A6,'02_Экземпляры'!$D$6:$D$42,"МБ2")+SUMIFS('02_Экземпляры'!$F$6:$F$42,'02_Экземпляры'!$B$6:$B$42,A6,'02_Экземпляры'!$D$6:$D$42,"МБ3")</x:f>
        <x:v>0</x:v>
      </x:c>
      <x:c r="J6" s="40" t="n">
        <x:f>SUMIFS('02_Экземпляры'!$F$6:$F$42,'02_Экземпляры'!$B$6:$B$42,A6,'02_Экземпляры'!$D$6:$D$42,"КС1")+SUMIFS('02_Экземпляры'!$F$6:$F$42,'02_Экземпляры'!$B$6:$B$42,A6,'02_Экземпляры'!$D$6:$D$42,"КС2")+SUMIFS('02_Экземпляры'!$F$6:$F$42,'02_Экземпляры'!$B$6:$B$42,A6,'02_Экземпляры'!$D$6:$D$42,"КС3")+SUMIFS('02_Экземпляры'!$F$6:$F$42,'02_Экземпляры'!$B$6:$B$42,A6,'02_Экземпляры'!$D$6:$D$42,"КС4")</x:f>
        <x:v>0</x:v>
      </x:c>
      <x:c r="K6" s="40" t="n">
        <x:f>SUMIFS('02_Экземпляры'!$F$6:$F$42,'02_Экземпляры'!$B$6:$B$42,A6,'02_Экземпляры'!$D$6:$D$42,"ЛП1")+SUMIFS('02_Экземпляры'!$F$6:$F$42,'02_Экземпляры'!$B$6:$B$42,A6,'02_Экземпляры'!$D$6:$D$42,"ЛП2")+SUMIFS('02_Экземпляры'!$F$6:$F$42,'02_Экземпляры'!$B$6:$B$42,A6,'02_Экземпляры'!$D$6:$D$42,"ЛП3")+SUMIFS('02_Экземпляры'!$F$6:$F$42,'02_Экземпляры'!$B$6:$B$42,A6,'02_Экземпляры'!$D$6:$D$42,"ЛП4")</x:f>
        <x:v>0</x:v>
      </x:c>
      <x:c r="L6" s="38" t="n">
        <x:f>0</x:f>
        <x:v>0</x:v>
      </x:c>
      <x:c r="M6" s="26" t="n">
        <x:f>SUMIFS('04_Ресурсы'!$J$6:$J$164,'04_Ресурсы'!$B$6:$B$164,A6,'04_Ресурсы'!$M$6:$M$164,"Огнезащита")</x:f>
        <x:v>0</x:v>
      </x:c>
    </x:row>
    <x:row r="7" ht="54" customHeight="1">
      <x:c r="A7" s="23" t="str">
        <x:v>F1</x:v>
      </x:c>
      <x:c r="B7" s="23" t="str">
        <x:v>1 этаж → 2 этаж</x:v>
      </x:c>
      <x:c r="C7" s="26" t="n">
        <x:f>SUMIFS('04_Ресурсы'!$J$6:$J$164,'04_Ресурсы'!$B$6:$B$164,A7,'04_Ресурсы'!$M$6:$M$164,"Бетон В25")</x:f>
        <x:v>1.65</x:v>
      </x:c>
      <x:c r="D7" s="26" t="n">
        <x:f>SUMIFS('04_Ресурсы'!$J$6:$J$164,'04_Ресурсы'!$B$6:$B$164,A7,'04_Ресурсы'!$M$6:$M$164,"Бетон В7,5")</x:f>
        <x:v>0</x:v>
      </x:c>
      <x:c r="E7" s="26" t="n">
        <x:f>SUMIFS('04_Ресурсы'!$L$6:$L$164,'04_Ресурсы'!$B$6:$B$164,A7,'04_Ресурсы'!$M$6:$M$164,"Арматура")</x:f>
        <x:v>270.0892</x:v>
      </x:c>
      <x:c r="F7" s="26" t="n">
        <x:f>SUMIFS('04_Ресурсы'!$L$6:$L$164,'04_Ресурсы'!$B$6:$B$164,A7,'04_Ресурсы'!$M$6:$M$164,"Металлопрокат")</x:f>
        <x:v>657.1300000000001</x:v>
      </x:c>
      <x:c r="G7" s="26" t="n">
        <x:f>SUMIFS('04_Ресурсы'!$J$6:$J$164,'04_Ресурсы'!$B$6:$B$164,A7,'04_Ресурсы'!$M$6:$M$164,"Профлист")</x:f>
        <x:v>4</x:v>
      </x:c>
      <x:c r="H7" s="40" t="n">
        <x:f>SUMIFS('02_Экземпляры'!$F$6:$F$42,'02_Экземпляры'!$B$6:$B$42,A7,'02_Экземпляры'!$D$6:$D$42,"ЛС1")</x:f>
        <x:v>22</x:v>
      </x:c>
      <x:c r="I7" s="40" t="n">
        <x:f>SUMIFS('02_Экземпляры'!$F$6:$F$42,'02_Экземпляры'!$B$6:$B$42,A7,'02_Экземпляры'!$D$6:$D$42,"МБ1")+SUMIFS('02_Экземпляры'!$F$6:$F$42,'02_Экземпляры'!$B$6:$B$42,A7,'02_Экземпляры'!$D$6:$D$42,"МБ2")+SUMIFS('02_Экземпляры'!$F$6:$F$42,'02_Экземпляры'!$B$6:$B$42,A7,'02_Экземпляры'!$D$6:$D$42,"МБ3")</x:f>
        <x:v>3</x:v>
      </x:c>
      <x:c r="J7" s="40" t="n">
        <x:f>SUMIFS('02_Экземпляры'!$F$6:$F$42,'02_Экземпляры'!$B$6:$B$42,A7,'02_Экземпляры'!$D$6:$D$42,"КС1")+SUMIFS('02_Экземпляры'!$F$6:$F$42,'02_Экземпляры'!$B$6:$B$42,A7,'02_Экземпляры'!$D$6:$D$42,"КС2")+SUMIFS('02_Экземпляры'!$F$6:$F$42,'02_Экземпляры'!$B$6:$B$42,A7,'02_Экземпляры'!$D$6:$D$42,"КС3")+SUMIFS('02_Экземпляры'!$F$6:$F$42,'02_Экземпляры'!$B$6:$B$42,A7,'02_Экземпляры'!$D$6:$D$42,"КС4")</x:f>
        <x:v>4</x:v>
      </x:c>
      <x:c r="K7" s="40" t="n">
        <x:f>SUMIFS('02_Экземпляры'!$F$6:$F$42,'02_Экземпляры'!$B$6:$B$42,A7,'02_Экземпляры'!$D$6:$D$42,"ЛП1")+SUMIFS('02_Экземпляры'!$F$6:$F$42,'02_Экземпляры'!$B$6:$B$42,A7,'02_Экземпляры'!$D$6:$D$42,"ЛП2")+SUMIFS('02_Экземпляры'!$F$6:$F$42,'02_Экземпляры'!$B$6:$B$42,A7,'02_Экземпляры'!$D$6:$D$42,"ЛП3")+SUMIFS('02_Экземпляры'!$F$6:$F$42,'02_Экземпляры'!$B$6:$B$42,A7,'02_Экземпляры'!$D$6:$D$42,"ЛП4")</x:f>
        <x:v>1</x:v>
      </x:c>
      <x:c r="L7" s="38" t="n">
        <x:f>'06_Контроль3D'!E15</x:f>
        <x:v>14.29925</x:v>
      </x:c>
      <x:c r="M7" s="26" t="n">
        <x:f>SUMIFS('04_Ресурсы'!$J$6:$J$164,'04_Ресурсы'!$B$6:$B$164,A7,'04_Ресурсы'!$M$6:$M$164,"Огнезащита")</x:f>
        <x:v>0</x:v>
      </x:c>
    </x:row>
    <x:row r="8" ht="54" customHeight="1">
      <x:c r="A8" s="23" t="str">
        <x:v>F2</x:v>
      </x:c>
      <x:c r="B8" s="23" t="str">
        <x:v>2 этаж → 3 этаж</x:v>
      </x:c>
      <x:c r="C8" s="26" t="n">
        <x:f>SUMIFS('04_Ресурсы'!$J$6:$J$164,'04_Ресурсы'!$B$6:$B$164,A8,'04_Ресурсы'!$M$6:$M$164,"Бетон В25")</x:f>
        <x:v>1.94</x:v>
      </x:c>
      <x:c r="D8" s="26" t="n">
        <x:f>SUMIFS('04_Ресурсы'!$J$6:$J$164,'04_Ресурсы'!$B$6:$B$164,A8,'04_Ресурсы'!$M$6:$M$164,"Бетон В7,5")</x:f>
        <x:v>0</x:v>
      </x:c>
      <x:c r="E8" s="26" t="n">
        <x:f>SUMIFS('04_Ресурсы'!$L$6:$L$164,'04_Ресурсы'!$B$6:$B$164,A8,'04_Ресурсы'!$M$6:$M$164,"Арматура")</x:f>
        <x:v>291.1252</x:v>
      </x:c>
      <x:c r="F8" s="26" t="n">
        <x:f>SUMIFS('04_Ресурсы'!$L$6:$L$164,'04_Ресурсы'!$B$6:$B$164,A8,'04_Ресурсы'!$M$6:$M$164,"Металлопрокат")</x:f>
        <x:v>607.0500000000001</x:v>
      </x:c>
      <x:c r="G8" s="26" t="n">
        <x:f>SUMIFS('04_Ресурсы'!$J$6:$J$164,'04_Ресурсы'!$B$6:$B$164,A8,'04_Ресурсы'!$M$6:$M$164,"Профлист")</x:f>
        <x:v>6.6</x:v>
      </x:c>
      <x:c r="H8" s="40" t="n">
        <x:f>SUMIFS('02_Экземпляры'!$F$6:$F$42,'02_Экземпляры'!$B$6:$B$42,A8,'02_Экземпляры'!$D$6:$D$42,"ЛС1")</x:f>
        <x:v>22</x:v>
      </x:c>
      <x:c r="I8" s="40" t="n">
        <x:f>SUMIFS('02_Экземпляры'!$F$6:$F$42,'02_Экземпляры'!$B$6:$B$42,A8,'02_Экземпляры'!$D$6:$D$42,"МБ1")+SUMIFS('02_Экземпляры'!$F$6:$F$42,'02_Экземпляры'!$B$6:$B$42,A8,'02_Экземпляры'!$D$6:$D$42,"МБ2")+SUMIFS('02_Экземпляры'!$F$6:$F$42,'02_Экземпляры'!$B$6:$B$42,A8,'02_Экземпляры'!$D$6:$D$42,"МБ3")</x:f>
        <x:v>3</x:v>
      </x:c>
      <x:c r="J8" s="40" t="n">
        <x:f>SUMIFS('02_Экземпляры'!$F$6:$F$42,'02_Экземпляры'!$B$6:$B$42,A8,'02_Экземпляры'!$D$6:$D$42,"КС1")+SUMIFS('02_Экземпляры'!$F$6:$F$42,'02_Экземпляры'!$B$6:$B$42,A8,'02_Экземпляры'!$D$6:$D$42,"КС2")+SUMIFS('02_Экземпляры'!$F$6:$F$42,'02_Экземпляры'!$B$6:$B$42,A8,'02_Экземпляры'!$D$6:$D$42,"КС3")+SUMIFS('02_Экземпляры'!$F$6:$F$42,'02_Экземпляры'!$B$6:$B$42,A8,'02_Экземпляры'!$D$6:$D$42,"КС4")</x:f>
        <x:v>4</x:v>
      </x:c>
      <x:c r="K8" s="40" t="n">
        <x:f>SUMIFS('02_Экземпляры'!$F$6:$F$42,'02_Экземпляры'!$B$6:$B$42,A8,'02_Экземпляры'!$D$6:$D$42,"ЛП1")+SUMIFS('02_Экземпляры'!$F$6:$F$42,'02_Экземпляры'!$B$6:$B$42,A8,'02_Экземпляры'!$D$6:$D$42,"ЛП2")+SUMIFS('02_Экземпляры'!$F$6:$F$42,'02_Экземпляры'!$B$6:$B$42,A8,'02_Экземпляры'!$D$6:$D$42,"ЛП3")+SUMIFS('02_Экземпляры'!$F$6:$F$42,'02_Экземпляры'!$B$6:$B$42,A8,'02_Экземпляры'!$D$6:$D$42,"ЛП4")</x:f>
        <x:v>1</x:v>
      </x:c>
      <x:c r="L8" s="38" t="n">
        <x:f>'06_Контроль3D'!E16</x:f>
        <x:v>13.8915</x:v>
      </x:c>
      <x:c r="M8" s="26" t="n">
        <x:f>SUMIFS('04_Ресурсы'!$J$6:$J$164,'04_Ресурсы'!$B$6:$B$164,A8,'04_Ресурсы'!$M$6:$M$164,"Огнезащита")</x:f>
        <x:v>0</x:v>
      </x:c>
    </x:row>
    <x:row r="9" ht="54" customHeight="1">
      <x:c r="A9" s="23" t="str">
        <x:v>F3</x:v>
      </x:c>
      <x:c r="B9" s="23" t="str">
        <x:v>3 этаж → выход на кровлю</x:v>
      </x:c>
      <x:c r="C9" s="26" t="n">
        <x:f>SUMIFS('04_Ресурсы'!$J$6:$J$164,'04_Ресурсы'!$B$6:$B$164,A9,'04_Ресурсы'!$M$6:$M$164,"Бетон В25")</x:f>
        <x:v>1.5</x:v>
      </x:c>
      <x:c r="D9" s="26" t="n">
        <x:f>SUMIFS('04_Ресурсы'!$J$6:$J$164,'04_Ресурсы'!$B$6:$B$164,A9,'04_Ресурсы'!$M$6:$M$164,"Бетон В7,5")</x:f>
        <x:v>0</x:v>
      </x:c>
      <x:c r="E9" s="26" t="n">
        <x:f>SUMIFS('04_Ресурсы'!$L$6:$L$164,'04_Ресурсы'!$B$6:$B$164,A9,'04_Ресурсы'!$M$6:$M$164,"Арматура")</x:f>
        <x:v>108.94</x:v>
      </x:c>
      <x:c r="F9" s="26" t="n">
        <x:f>SUMIFS('04_Ресурсы'!$L$6:$L$164,'04_Ресурсы'!$B$6:$B$164,A9,'04_Ресурсы'!$M$6:$M$164,"Металлопрокат")</x:f>
        <x:v>737.44</x:v>
      </x:c>
      <x:c r="G9" s="26" t="n">
        <x:f>SUMIFS('04_Ресурсы'!$J$6:$J$164,'04_Ресурсы'!$B$6:$B$164,A9,'04_Ресурсы'!$M$6:$M$164,"Профлист")</x:f>
        <x:v>10.2</x:v>
      </x:c>
      <x:c r="H9" s="40" t="n">
        <x:f>SUMIFS('02_Экземпляры'!$F$6:$F$42,'02_Экземпляры'!$B$6:$B$42,A9,'02_Экземпляры'!$D$6:$D$42,"ЛС1")</x:f>
        <x:v>26</x:v>
      </x:c>
      <x:c r="I9" s="40" t="n">
        <x:f>SUMIFS('02_Экземпляры'!$F$6:$F$42,'02_Экземпляры'!$B$6:$B$42,A9,'02_Экземпляры'!$D$6:$D$42,"МБ1")+SUMIFS('02_Экземпляры'!$F$6:$F$42,'02_Экземпляры'!$B$6:$B$42,A9,'02_Экземпляры'!$D$6:$D$42,"МБ2")+SUMIFS('02_Экземпляры'!$F$6:$F$42,'02_Экземпляры'!$B$6:$B$42,A9,'02_Экземпляры'!$D$6:$D$42,"МБ3")</x:f>
        <x:v>4</x:v>
      </x:c>
      <x:c r="J9" s="40" t="n">
        <x:f>SUMIFS('02_Экземпляры'!$F$6:$F$42,'02_Экземпляры'!$B$6:$B$42,A9,'02_Экземпляры'!$D$6:$D$42,"КС1")+SUMIFS('02_Экземпляры'!$F$6:$F$42,'02_Экземпляры'!$B$6:$B$42,A9,'02_Экземпляры'!$D$6:$D$42,"КС2")+SUMIFS('02_Экземпляры'!$F$6:$F$42,'02_Экземпляры'!$B$6:$B$42,A9,'02_Экземпляры'!$D$6:$D$42,"КС3")+SUMIFS('02_Экземпляры'!$F$6:$F$42,'02_Экземпляры'!$B$6:$B$42,A9,'02_Экземпляры'!$D$6:$D$42,"КС4")</x:f>
        <x:v>4</x:v>
      </x:c>
      <x:c r="K9" s="40" t="n">
        <x:f>SUMIFS('02_Экземпляры'!$F$6:$F$42,'02_Экземпляры'!$B$6:$B$42,A9,'02_Экземпляры'!$D$6:$D$42,"ЛП1")+SUMIFS('02_Экземпляры'!$F$6:$F$42,'02_Экземпляры'!$B$6:$B$42,A9,'02_Экземпляры'!$D$6:$D$42,"ЛП2")+SUMIFS('02_Экземпляры'!$F$6:$F$42,'02_Экземпляры'!$B$6:$B$42,A9,'02_Экземпляры'!$D$6:$D$42,"ЛП3")+SUMIFS('02_Экземпляры'!$F$6:$F$42,'02_Экземпляры'!$B$6:$B$42,A9,'02_Экземпляры'!$D$6:$D$42,"ЛП4")</x:f>
        <x:v>2</x:v>
      </x:c>
      <x:c r="L9" s="38" t="n">
        <x:f>'06_Контроль3D'!E17</x:f>
        <x:v>16.87875</x:v>
      </x:c>
      <x:c r="M9" s="26" t="n">
        <x:f>SUMIFS('04_Ресурсы'!$J$6:$J$164,'04_Ресурсы'!$B$6:$B$164,A9,'04_Ресурсы'!$M$6:$M$164,"Огнезащита")</x:f>
        <x:v>0</x:v>
      </x:c>
    </x:row>
    <x:row r="10" ht="54" customHeight="1">
      <x:c r="A10" s="23" t="str">
        <x:v>RF</x:v>
      </x:c>
      <x:c r="B10" s="23" t="str">
        <x:v>Надстройка / покрытие</x:v>
      </x:c>
      <x:c r="C10" s="26" t="n">
        <x:f>SUMIFS('04_Ресурсы'!$J$6:$J$164,'04_Ресурсы'!$B$6:$B$164,A10,'04_Ресурсы'!$M$6:$M$164,"Бетон В25")</x:f>
        <x:v>4.7</x:v>
      </x:c>
      <x:c r="D10" s="26" t="n">
        <x:f>SUMIFS('04_Ресурсы'!$J$6:$J$164,'04_Ресурсы'!$B$6:$B$164,A10,'04_Ресурсы'!$M$6:$M$164,"Бетон В7,5")</x:f>
        <x:v>0</x:v>
      </x:c>
      <x:c r="E10" s="26" t="n">
        <x:f>SUMIFS('04_Ресурсы'!$L$6:$L$164,'04_Ресурсы'!$B$6:$B$164,A10,'04_Ресурсы'!$M$6:$M$164,"Арматура")</x:f>
        <x:v>660.28</x:v>
      </x:c>
      <x:c r="F10" s="26" t="n">
        <x:f>SUMIFS('04_Ресурсы'!$L$6:$L$164,'04_Ресурсы'!$B$6:$B$164,A10,'04_Ресурсы'!$M$6:$M$164,"Металлопрокат")</x:f>
        <x:v>0</x:v>
      </x:c>
      <x:c r="G10" s="26" t="n">
        <x:f>SUMIFS('04_Ресурсы'!$J$6:$J$164,'04_Ресурсы'!$B$6:$B$164,A10,'04_Ресурсы'!$M$6:$M$164,"Профлист")</x:f>
        <x:v>0</x:v>
      </x:c>
      <x:c r="H10" s="40" t="n">
        <x:f>SUMIFS('02_Экземпляры'!$F$6:$F$42,'02_Экземпляры'!$B$6:$B$42,A10,'02_Экземпляры'!$D$6:$D$42,"ЛС1")</x:f>
        <x:v>0</x:v>
      </x:c>
      <x:c r="I10" s="40" t="n">
        <x:f>SUMIFS('02_Экземпляры'!$F$6:$F$42,'02_Экземпляры'!$B$6:$B$42,A10,'02_Экземпляры'!$D$6:$D$42,"МБ1")+SUMIFS('02_Экземпляры'!$F$6:$F$42,'02_Экземпляры'!$B$6:$B$42,A10,'02_Экземпляры'!$D$6:$D$42,"МБ2")+SUMIFS('02_Экземпляры'!$F$6:$F$42,'02_Экземпляры'!$B$6:$B$42,A10,'02_Экземпляры'!$D$6:$D$42,"МБ3")</x:f>
        <x:v>0</x:v>
      </x:c>
      <x:c r="J10" s="40" t="n">
        <x:f>SUMIFS('02_Экземпляры'!$F$6:$F$42,'02_Экземпляры'!$B$6:$B$42,A10,'02_Экземпляры'!$D$6:$D$42,"КС1")+SUMIFS('02_Экземпляры'!$F$6:$F$42,'02_Экземпляры'!$B$6:$B$42,A10,'02_Экземпляры'!$D$6:$D$42,"КС2")+SUMIFS('02_Экземпляры'!$F$6:$F$42,'02_Экземпляры'!$B$6:$B$42,A10,'02_Экземпляры'!$D$6:$D$42,"КС3")+SUMIFS('02_Экземпляры'!$F$6:$F$42,'02_Экземпляры'!$B$6:$B$42,A10,'02_Экземпляры'!$D$6:$D$42,"КС4")</x:f>
        <x:v>0</x:v>
      </x:c>
      <x:c r="K10" s="40" t="n">
        <x:f>SUMIFS('02_Экземпляры'!$F$6:$F$42,'02_Экземпляры'!$B$6:$B$42,A10,'02_Экземпляры'!$D$6:$D$42,"ЛП1")+SUMIFS('02_Экземпляры'!$F$6:$F$42,'02_Экземпляры'!$B$6:$B$42,A10,'02_Экземпляры'!$D$6:$D$42,"ЛП2")+SUMIFS('02_Экземпляры'!$F$6:$F$42,'02_Экземпляры'!$B$6:$B$42,A10,'02_Экземпляры'!$D$6:$D$42,"ЛП3")+SUMIFS('02_Экземпляры'!$F$6:$F$42,'02_Экземпляры'!$B$6:$B$42,A10,'02_Экземпляры'!$D$6:$D$42,"ЛП4")</x:f>
        <x:v>0</x:v>
      </x:c>
      <x:c r="L10" s="38" t="n">
        <x:f>'06_Контроль3D'!E18</x:f>
        <x:v>13.636999999999999</x:v>
      </x:c>
      <x:c r="M10" s="26" t="n">
        <x:f>SUMIFS('04_Ресурсы'!$J$6:$J$164,'04_Ресурсы'!$B$6:$B$164,A10,'04_Ресурсы'!$M$6:$M$164,"Огнезащита")</x:f>
        <x:v>0</x:v>
      </x:c>
    </x:row>
    <x:row r="11" ht="54" customHeight="1">
      <x:c r="A11" s="23" t="str">
        <x:v>COM</x:v>
      </x:c>
      <x:c r="B11" s="23" t="str">
        <x:v>Общие / не разнесены</x:v>
      </x:c>
      <x:c r="C11" s="26" t="n">
        <x:f>SUMIFS('04_Ресурсы'!$J$6:$J$164,'04_Ресурсы'!$B$6:$B$164,A11,'04_Ресурсы'!$M$6:$M$164,"Бетон В25")</x:f>
        <x:v>0</x:v>
      </x:c>
      <x:c r="D11" s="26" t="n">
        <x:f>SUMIFS('04_Ресурсы'!$J$6:$J$164,'04_Ресурсы'!$B$6:$B$164,A11,'04_Ресурсы'!$M$6:$M$164,"Бетон В7,5")</x:f>
        <x:v>0</x:v>
      </x:c>
      <x:c r="E11" s="26" t="n">
        <x:f>SUMIFS('04_Ресурсы'!$L$6:$L$164,'04_Ресурсы'!$B$6:$B$164,A11,'04_Ресурсы'!$M$6:$M$164,"Арматура")</x:f>
        <x:v>0</x:v>
      </x:c>
      <x:c r="F11" s="26" t="n">
        <x:f>SUMIFS('04_Ресурсы'!$L$6:$L$164,'04_Ресурсы'!$B$6:$B$164,A11,'04_Ресурсы'!$M$6:$M$164,"Металлопрокат")</x:f>
        <x:v>0</x:v>
      </x:c>
      <x:c r="G11" s="26" t="n">
        <x:f>SUMIFS('04_Ресурсы'!$J$6:$J$164,'04_Ресурсы'!$B$6:$B$164,A11,'04_Ресурсы'!$M$6:$M$164,"Профлист")</x:f>
        <x:v>0</x:v>
      </x:c>
      <x:c r="H11" s="40" t="n">
        <x:f>SUMIFS('02_Экземпляры'!$F$6:$F$42,'02_Экземпляры'!$B$6:$B$42,A11,'02_Экземпляры'!$D$6:$D$42,"ЛС1")</x:f>
        <x:v>0</x:v>
      </x:c>
      <x:c r="I11" s="40" t="n">
        <x:f>SUMIFS('02_Экземпляры'!$F$6:$F$42,'02_Экземпляры'!$B$6:$B$42,A11,'02_Экземпляры'!$D$6:$D$42,"МБ1")+SUMIFS('02_Экземпляры'!$F$6:$F$42,'02_Экземпляры'!$B$6:$B$42,A11,'02_Экземпляры'!$D$6:$D$42,"МБ2")+SUMIFS('02_Экземпляры'!$F$6:$F$42,'02_Экземпляры'!$B$6:$B$42,A11,'02_Экземпляры'!$D$6:$D$42,"МБ3")</x:f>
        <x:v>0</x:v>
      </x:c>
      <x:c r="J11" s="40" t="n">
        <x:f>SUMIFS('02_Экземпляры'!$F$6:$F$42,'02_Экземпляры'!$B$6:$B$42,A11,'02_Экземпляры'!$D$6:$D$42,"КС1")+SUMIFS('02_Экземпляры'!$F$6:$F$42,'02_Экземпляры'!$B$6:$B$42,A11,'02_Экземпляры'!$D$6:$D$42,"КС2")+SUMIFS('02_Экземпляры'!$F$6:$F$42,'02_Экземпляры'!$B$6:$B$42,A11,'02_Экземпляры'!$D$6:$D$42,"КС3")+SUMIFS('02_Экземпляры'!$F$6:$F$42,'02_Экземпляры'!$B$6:$B$42,A11,'02_Экземпляры'!$D$6:$D$42,"КС4")</x:f>
        <x:v>0</x:v>
      </x:c>
      <x:c r="K11" s="40" t="n">
        <x:f>SUMIFS('02_Экземпляры'!$F$6:$F$42,'02_Экземпляры'!$B$6:$B$42,A11,'02_Экземпляры'!$D$6:$D$42,"ЛП1")+SUMIFS('02_Экземпляры'!$F$6:$F$42,'02_Экземпляры'!$B$6:$B$42,A11,'02_Экземпляры'!$D$6:$D$42,"ЛП2")+SUMIFS('02_Экземпляры'!$F$6:$F$42,'02_Экземпляры'!$B$6:$B$42,A11,'02_Экземпляры'!$D$6:$D$42,"ЛП3")+SUMIFS('02_Экземпляры'!$F$6:$F$42,'02_Экземпляры'!$B$6:$B$42,A11,'02_Экземпляры'!$D$6:$D$42,"ЛП4")</x:f>
        <x:v>0</x:v>
      </x:c>
      <x:c r="L11" s="38" t="n">
        <x:f>0</x:f>
        <x:v>0</x:v>
      </x:c>
      <x:c r="M11" s="26" t="n">
        <x:f>SUMIFS('04_Ресурсы'!$J$6:$J$164,'04_Ресурсы'!$B$6:$B$164,A11,'04_Ресурсы'!$M$6:$M$164,"Огнезащита")</x:f>
        <x:v>42.3</x:v>
      </x:c>
    </x:row>
    <x:row r="12" ht="34" customHeight="1">
      <x:c r="A12" s="45" t="str">
        <x:v>ИТОГО</x:v>
      </x:c>
      <x:c r="B12" s="45" t="str">
        <x:v>По расчётной базе</x:v>
      </x:c>
      <x:c r="C12" s="46" t="n">
        <x:f>SUM(C6:C11)</x:f>
        <x:v>32.29</x:v>
      </x:c>
      <x:c r="D12" s="46" t="n">
        <x:f>SUM(D6:D11)</x:f>
        <x:v>4.3</x:v>
      </x:c>
      <x:c r="E12" s="46" t="n">
        <x:f>SUM(E6:E11)</x:f>
        <x:v>3897.8743999999997</x:v>
      </x:c>
      <x:c r="F12" s="46" t="n">
        <x:f>SUM(F6:F11)</x:f>
        <x:v>2001.6200000000003</x:v>
      </x:c>
      <x:c r="G12" s="46" t="n">
        <x:f>SUM(G6:G11)</x:f>
        <x:v>20.799999999999997</x:v>
      </x:c>
      <x:c r="H12" s="47" t="n">
        <x:f>SUM(H6:H11)</x:f>
        <x:v>70</x:v>
      </x:c>
      <x:c r="I12" s="47" t="n">
        <x:f>SUM(I6:I11)</x:f>
        <x:v>10</x:v>
      </x:c>
      <x:c r="J12" s="47" t="n">
        <x:f>SUM(J6:J11)</x:f>
        <x:v>12</x:v>
      </x:c>
      <x:c r="K12" s="47" t="n">
        <x:f>SUM(K6:K11)</x:f>
        <x:v>4</x:v>
      </x:c>
      <x:c r="L12" s="46" t="n">
        <x:f>SUM(L6:L11)</x:f>
        <x:v>58.706500000000005</x:v>
      </x:c>
      <x:c r="M12" s="46" t="n">
        <x:f>SUM(M6:M11)</x:f>
        <x:v>42.3</x:v>
      </x:c>
    </x:row>
    <x:row r="15" ht="23" customHeight="1">
      <x:c r="A15" s="36" t="str">
        <x:v>ВАЖНО: 32,29 м³ В25 — сумма детальных проектных строк, а не геометрически подтверждённый объём. Не прибавлены повторно 2,6 м³ общей таблицы л.56; МУ1 принят в 2 экземплярах. Расхождения Фп-1/Пп-1 и масс должны быть согласованы до заказа.</x:v>
      </x:c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</x:row>
    <x:row r="16" ht="23" customHeight="1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</x:row>
    <x:row r="17" ht="23" customHeight="1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</x:row>
  </x:sheetData>
  <x:mergeCells>
    <x:mergeCell ref="A1:M1"/>
    <x:mergeCell ref="A2:M3"/>
    <x:mergeCell ref="A15:M17"/>
  </x:mergeCells>
  <x:pageMargins left="0.7" right="0.7" top="0.75" bottom="0.75" header="0.3" footer="0.3"/>
  <x:tableParts count="1">
    <x:tablePart xmlns:r="http://schemas.openxmlformats.org/officeDocument/2006/relationships" r:id="R5d9d1b327e58483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61" hidden="0" customWidth="1"/>
    <x:col min="2" max="2" width="18" hidden="0" customWidth="1"/>
    <x:col min="3" max="3" width="18" hidden="0" customWidth="1"/>
    <x:col min="4" max="4" width="18" hidden="0" customWidth="1"/>
    <x:col min="5" max="5" width="8" hidden="0" customWidth="1"/>
    <x:col min="6" max="6" width="22" hidden="0" customWidth="1"/>
    <x:col min="7" max="7" width="70" hidden="0" customWidth="1"/>
  </x:cols>
  <x:sheetData>
    <x:row r="1" ht="32" customHeight="1">
      <x:c r="A1" s="4" t="str">
        <x:v>Л-1 / АРИФМЕТИКА И КОНТРОЛЬ ПОВТОРОВ</x:v>
      </x:c>
      <x:c r="B1" s="4"/>
      <x:c r="C1" s="4"/>
      <x:c r="D1" s="4"/>
      <x:c r="E1" s="4"/>
      <x:c r="F1" s="4"/>
      <x:c r="G1" s="4"/>
    </x:row>
    <x:row r="2" ht="23" customHeight="1">
      <x:c r="A2" s="10" t="str">
        <x:v>Отклонение не означает автоматическую правку РД. Наличие расхождений блокирует применение спорных строк как окончательной заявки на закупку.</x:v>
      </x:c>
      <x:c r="B2" s="10"/>
      <x:c r="C2" s="10"/>
      <x:c r="D2" s="10"/>
      <x:c r="E2" s="10"/>
      <x:c r="F2" s="10"/>
      <x:c r="G2" s="10"/>
    </x:row>
    <x:row r="3" ht="23" customHeight="1">
      <x:c r="A3" s="10"/>
      <x:c r="B3" s="10"/>
      <x:c r="C3" s="10"/>
      <x:c r="D3" s="10"/>
      <x:c r="E3" s="10"/>
      <x:c r="F3" s="10"/>
      <x:c r="G3" s="10"/>
    </x:row>
    <x:row r="5" ht="38" customHeight="1">
      <x:c r="A5" s="17" t="str">
        <x:v>Проверка</x:v>
      </x:c>
      <x:c r="B5" s="17" t="str">
        <x:v>Расчёт</x:v>
      </x:c>
      <x:c r="C5" s="17" t="str">
        <x:v>По РД</x:v>
      </x:c>
      <x:c r="D5" s="17" t="str">
        <x:v>Δ</x:v>
      </x:c>
      <x:c r="E5" s="17" t="str">
        <x:v>Ед.</x:v>
      </x:c>
      <x:c r="F5" s="17" t="str">
        <x:v>Листы</x:v>
      </x:c>
      <x:c r="G5" s="17" t="str">
        <x:v>Пояснение</x:v>
      </x:c>
    </x:row>
    <x:row r="6" ht="60" customHeight="1">
      <x:c r="A6" s="23" t="str">
        <x:v>Ступени ЛС12, общая сумма</x:v>
      </x:c>
      <x:c r="B6" s="26" t="n">
        <x:f>'01_Свод_этажи'!H12</x:f>
        <x:v>70</x:v>
      </x:c>
      <x:c r="C6" s="26" t="n">
        <x:v>70</x:v>
      </x:c>
      <x:c r="D6" s="26" t="n">
        <x:f>B6-C6</x:f>
        <x:v>0</x:v>
      </x:c>
      <x:c r="E6" s="23" t="str">
        <x:v>шт</x:v>
      </x:c>
      <x:c r="F6" s="23" t="str">
        <x:v>56</x:v>
      </x:c>
      <x:c r="G6" s="23" t="str">
        <x:v>Поэтажно 22+22+26</x:v>
      </x:c>
    </x:row>
    <x:row r="7" ht="60" customHeight="1">
      <x:c r="A7" s="23" t="str">
        <x:v>Косоуры, общая сумма</x:v>
      </x:c>
      <x:c r="B7" s="26" t="n">
        <x:f>'01_Свод_этажи'!J12</x:f>
        <x:v>12</x:v>
      </x:c>
      <x:c r="C7" s="26" t="n">
        <x:v>12</x:v>
      </x:c>
      <x:c r="D7" s="26" t="n">
        <x:f>B7-C7</x:f>
        <x:v>0</x:v>
      </x:c>
      <x:c r="E7" s="23" t="str">
        <x:v>шт</x:v>
      </x:c>
      <x:c r="F7" s="23" t="str">
        <x:v>55,56</x:v>
      </x:c>
      <x:c r="G7" s="23" t="str">
        <x:v>КС1 2; КС2 6; КС3 2; КС4 2</x:v>
      </x:c>
    </x:row>
    <x:row r="8" ht="60" customHeight="1">
      <x:c r="A8" s="23" t="str">
        <x:v>Балки, общая сумма</x:v>
      </x:c>
      <x:c r="B8" s="26" t="n">
        <x:f>'01_Свод_этажи'!I12</x:f>
        <x:v>10</x:v>
      </x:c>
      <x:c r="C8" s="26" t="n">
        <x:v>10</x:v>
      </x:c>
      <x:c r="D8" s="26" t="n">
        <x:f>B8-C8</x:f>
        <x:v>0</x:v>
      </x:c>
      <x:c r="E8" s="23" t="str">
        <x:v>шт</x:v>
      </x:c>
      <x:c r="F8" s="23" t="str">
        <x:v>56</x:v>
      </x:c>
      <x:c r="G8" s="23" t="str">
        <x:v>МБ1 6; МБ2 3; МБ3 1</x:v>
      </x:c>
    </x:row>
    <x:row r="9" ht="60" customHeight="1">
      <x:c r="A9" s="23" t="str">
        <x:v>Площадки ЛП1–ЛП4</x:v>
      </x:c>
      <x:c r="B9" s="26" t="n">
        <x:f>'01_Свод_этажи'!K12</x:f>
        <x:v>4</x:v>
      </x:c>
      <x:c r="C9" s="26" t="n">
        <x:v>4</x:v>
      </x:c>
      <x:c r="D9" s="26" t="n">
        <x:f>B9-C9</x:f>
        <x:v>0</x:v>
      </x:c>
      <x:c r="E9" s="23" t="str">
        <x:v>шт</x:v>
      </x:c>
      <x:c r="F9" s="23" t="str">
        <x:v>56,60–63</x:v>
      </x:c>
      <x:c r="G9" s="23" t="str">
        <x:v>Каждая марка по одному экземпляру</x:v>
      </x:c>
    </x:row>
    <x:row r="10" ht="60" customHeight="1">
      <x:c r="A10" s="23" t="str">
        <x:v>Опорные подушки ОП1</x:v>
      </x:c>
      <x:c r="B10" s="26" t="n">
        <x:f>SUMIF('02_Экземпляры'!D6:D42,"ОП1",'02_Экземпляры'!F6:F42)</x:f>
        <x:v>20</x:v>
      </x:c>
      <x:c r="C10" s="26" t="n">
        <x:v>20</x:v>
      </x:c>
      <x:c r="D10" s="26" t="n">
        <x:f>B10-C10</x:f>
        <x:v>0</x:v>
      </x:c>
      <x:c r="E10" s="23" t="str">
        <x:v>шт</x:v>
      </x:c>
      <x:c r="F10" s="23" t="str">
        <x:v>56</x:v>
      </x:c>
      <x:c r="G10" s="23" t="str">
        <x:v>Две подушки на каждую балку</x:v>
      </x:c>
    </x:row>
    <x:row r="11" ht="60" customHeight="1">
      <x:c r="A11" s="23" t="str">
        <x:v>МУ1: принятая разбивка против общей таблицы</x:v>
      </x:c>
      <x:c r="B11" s="26" t="n">
        <x:f>SUMIF('02_Экземпляры'!D6:D42,"МУ1",'02_Экземпляры'!F6:F42)</x:f>
        <x:v>2</x:v>
      </x:c>
      <x:c r="C11" s="26" t="n">
        <x:v>1</x:v>
      </x:c>
      <x:c r="D11" s="26" t="n">
        <x:f>B11-C11</x:f>
        <x:v>1</x:v>
      </x:c>
      <x:c r="E11" s="23" t="str">
        <x:v>шт</x:v>
      </x:c>
      <x:c r="F11" s="23" t="str">
        <x:v>56 / 66</x:v>
      </x:c>
      <x:c r="G11" s="23" t="str">
        <x:v>Коллизия: 2 по двум отметкам; исходная общая таблица — 1</x:v>
      </x:c>
    </x:row>
    <x:row r="12" ht="60" customHeight="1">
      <x:c r="A12" s="23" t="str">
        <x:v>Площадки: бетон детально против общей строки</x:v>
      </x:c>
      <x:c r="B12" s="26" t="n">
        <x:f>'03_Спец_РД'!H75+'03_Спец_РД'!H83+'03_Спец_РД'!H91+'03_Спец_РД'!H96</x:f>
        <x:v>3</x:v>
      </x:c>
      <x:c r="C12" s="26" t="n">
        <x:v>2.6</x:v>
      </x:c>
      <x:c r="D12" s="26" t="n">
        <x:f>B12-C12</x:f>
        <x:v>0.3999999999999999</x:v>
      </x:c>
      <x:c r="E12" s="23" t="str">
        <x:v>м³</x:v>
      </x:c>
      <x:c r="F12" s="23" t="str">
        <x:v>56 / 60–63</x:v>
      </x:c>
      <x:c r="G12" s="23" t="str">
        <x:v>3,0 против общей строки 2,6; 2,6 дополнительно не учтено</x:v>
      </x:c>
    </x:row>
    <x:row r="13" ht="60" customHeight="1">
      <x:c r="A13" s="23" t="str">
        <x:v>Подземная часть: сталь по деталям против ведомости</x:v>
      </x:c>
      <x:c r="B13" s="26" t="n">
        <x:f>'01_Свод_этажи'!E6</x:f>
        <x:v>2567.44</x:v>
      </x:c>
      <x:c r="C13" s="26" t="n">
        <x:v>2896.44</x:v>
      </x:c>
      <x:c r="D13" s="26" t="n">
        <x:f>B13-C13</x:f>
        <x:v>-329</x:v>
      </x:c>
      <x:c r="E13" s="23" t="str">
        <x:v>кг</x:v>
      </x:c>
      <x:c r="F13" s="23" t="str">
        <x:v>48,50–54</x:v>
      </x:c>
      <x:c r="G13" s="23" t="str">
        <x:v>Единичные массы × количества; исходная сводная ведомость не подменяет деталировку</x:v>
      </x:c>
    </x:row>
  </x:sheetData>
  <x:mergeCells>
    <x:mergeCell ref="A1:G1"/>
    <x:mergeCell ref="A2:G3"/>
  </x:mergeCells>
  <x:conditionalFormatting sqref="A6:G13">
    <x:cfRule type="expression" dxfId="2" priority="1">
      <x:formula>ABS($D6)&gt;0.05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457fe2ed5d48fe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55" hidden="0" customWidth="1"/>
    <x:col min="4" max="4" width="60" hidden="0" customWidth="1"/>
    <x:col min="5" max="5" width="57" hidden="0" customWidth="1"/>
    <x:col min="6" max="6" width="48" hidden="0" customWidth="1"/>
  </x:cols>
  <x:sheetData>
    <x:row r="1" ht="32" customHeight="1">
      <x:c r="A1" s="4" t="str">
        <x:v>Л-1 / РЕЕСТР ИСХОДНЫХ ЛИСТОВ</x:v>
      </x:c>
      <x:c r="B1" s="4"/>
      <x:c r="C1" s="4"/>
      <x:c r="D1" s="4"/>
      <x:c r="E1" s="4"/>
      <x:c r="F1" s="4"/>
    </x:row>
    <x:row r="2" ht="23" customHeight="1">
      <x:c r="A2" s="10" t="str">
        <x:v>23 листа основного диапазона: 47–69 по штампу, физические страницы исходного PDF 57–79. Лист 70 / PDF80 — отдельное дополнение. Все строки относятся к последнему присланному альбому, а не к прежней выборке кровли.</x:v>
      </x:c>
      <x:c r="B2" s="10"/>
      <x:c r="C2" s="10"/>
      <x:c r="D2" s="10"/>
      <x:c r="E2" s="10"/>
      <x:c r="F2" s="10"/>
    </x:row>
    <x:row r="3" ht="23" customHeight="1">
      <x:c r="A3" s="10"/>
      <x:c r="B3" s="10"/>
      <x:c r="C3" s="10"/>
      <x:c r="D3" s="10"/>
      <x:c r="E3" s="10"/>
      <x:c r="F3" s="10"/>
    </x:row>
    <x:row r="5" ht="38" customHeight="1">
      <x:c r="A5" s="17" t="str">
        <x:v>Лист по штампу</x:v>
      </x:c>
      <x:c r="B5" s="17" t="str">
        <x:v>PDF исходный</x:v>
      </x:c>
      <x:c r="C5" s="17" t="str">
        <x:v>Наименование</x:v>
      </x:c>
      <x:c r="D5" s="17" t="str">
        <x:v>Файл-основание</x:v>
      </x:c>
      <x:c r="E5" s="17" t="str">
        <x:v>Выписка в комплекте</x:v>
      </x:c>
      <x:c r="F5" s="17" t="str">
        <x:v>Использование</x:v>
      </x:c>
    </x:row>
    <x:row r="6" ht="52" customHeight="1">
      <x:c r="A6" s="23" t="n">
        <x:v>47</x:v>
      </x:c>
      <x:c r="B6" s="23" t="n">
        <x:v>57</x:v>
      </x:c>
      <x:c r="C6" s="23" t="str">
        <x:v>Фп-1. Опалубочный чертёж</x:v>
      </x:c>
      <x:c r="D6" s="23" t="str">
        <x:v>01-2024-ИЯИ-АС.2 изм от 03.07.26.pdf</x:v>
      </x:c>
      <x:c r="E6" s="23" t="str">
        <x:v>sources/L1_sheets47_69.pdf#page=1</x:v>
      </x:c>
      <x:c r="F6" s="23" t="str">
        <x:v>Основной диапазон; графика и таблицы проверены</x:v>
      </x:c>
    </x:row>
    <x:row r="7" ht="52" customHeight="1">
      <x:c r="A7" s="23" t="n">
        <x:v>48</x:v>
      </x:c>
      <x:c r="B7" s="23" t="n">
        <x:v>58</x:v>
      </x:c>
      <x:c r="C7" s="23" t="str">
        <x:v>Фп-1. Армирование и выпуски</x:v>
      </x:c>
      <x:c r="D7" s="23" t="str">
        <x:v>01-2024-ИЯИ-АС.2 изм от 03.07.26.pdf</x:v>
      </x:c>
      <x:c r="E7" s="23" t="str">
        <x:v>sources/L1_sheets47_69.pdf#page=2</x:v>
      </x:c>
      <x:c r="F7" s="23" t="str">
        <x:v>Основной диапазон; графика и таблицы проверены</x:v>
      </x:c>
    </x:row>
    <x:row r="8" ht="52" customHeight="1">
      <x:c r="A8" s="23" t="n">
        <x:v>49</x:v>
      </x:c>
      <x:c r="B8" s="23" t="n">
        <x:v>59</x:v>
      </x:c>
      <x:c r="C8" s="23" t="str">
        <x:v>Стены ниже 0,000. Схема</x:v>
      </x:c>
      <x:c r="D8" s="23" t="str">
        <x:v>01-2024-ИЯИ-АС.2 изм от 03.07.26.pdf</x:v>
      </x:c>
      <x:c r="E8" s="23" t="str">
        <x:v>sources/L1_sheets47_69.pdf#page=3</x:v>
      </x:c>
      <x:c r="F8" s="23" t="str">
        <x:v>Основной диапазон; графика и таблицы проверены</x:v>
      </x:c>
    </x:row>
    <x:row r="9" ht="52" customHeight="1">
      <x:c r="A9" s="23" t="n">
        <x:v>50</x:v>
      </x:c>
      <x:c r="B9" s="23" t="n">
        <x:v>60</x:v>
      </x:c>
      <x:c r="C9" s="23" t="str">
        <x:v>С-1-1. Опалубка и армирование</x:v>
      </x:c>
      <x:c r="D9" s="23" t="str">
        <x:v>01-2024-ИЯИ-АС.2 изм от 03.07.26.pdf</x:v>
      </x:c>
      <x:c r="E9" s="23" t="str">
        <x:v>sources/L1_sheets47_69.pdf#page=4</x:v>
      </x:c>
      <x:c r="F9" s="23" t="str">
        <x:v>Основной диапазон; графика и таблицы проверены</x:v>
      </x:c>
    </x:row>
    <x:row r="10" ht="52" customHeight="1">
      <x:c r="A10" s="23" t="n">
        <x:v>51</x:v>
      </x:c>
      <x:c r="B10" s="23" t="n">
        <x:v>61</x:v>
      </x:c>
      <x:c r="C10" s="23" t="str">
        <x:v>С-1-2. Опалубка и армирование</x:v>
      </x:c>
      <x:c r="D10" s="23" t="str">
        <x:v>01-2024-ИЯИ-АС.2 изм от 03.07.26.pdf</x:v>
      </x:c>
      <x:c r="E10" s="23" t="str">
        <x:v>sources/L1_sheets47_69.pdf#page=5</x:v>
      </x:c>
      <x:c r="F10" s="23" t="str">
        <x:v>Основной диапазон; графика и таблицы проверены</x:v>
      </x:c>
    </x:row>
    <x:row r="11" ht="52" customHeight="1">
      <x:c r="A11" s="23" t="n">
        <x:v>52</x:v>
      </x:c>
      <x:c r="B11" s="23" t="n">
        <x:v>62</x:v>
      </x:c>
      <x:c r="C11" s="23" t="str">
        <x:v>С-1-3. Опалубка и армирование</x:v>
      </x:c>
      <x:c r="D11" s="23" t="str">
        <x:v>01-2024-ИЯИ-АС.2 изм от 03.07.26.pdf</x:v>
      </x:c>
      <x:c r="E11" s="23" t="str">
        <x:v>sources/L1_sheets47_69.pdf#page=6</x:v>
      </x:c>
      <x:c r="F11" s="23" t="str">
        <x:v>Основной диапазон; графика и таблицы проверены</x:v>
      </x:c>
    </x:row>
    <x:row r="12" ht="52" customHeight="1">
      <x:c r="A12" s="23" t="n">
        <x:v>53</x:v>
      </x:c>
      <x:c r="B12" s="23" t="n">
        <x:v>63</x:v>
      </x:c>
      <x:c r="C12" s="23" t="str">
        <x:v>С-1-4. Опалубка и армирование</x:v>
      </x:c>
      <x:c r="D12" s="23" t="str">
        <x:v>01-2024-ИЯИ-АС.2 изм от 03.07.26.pdf</x:v>
      </x:c>
      <x:c r="E12" s="23" t="str">
        <x:v>sources/L1_sheets47_69.pdf#page=7</x:v>
      </x:c>
      <x:c r="F12" s="23" t="str">
        <x:v>Основной диапазон; графика и таблицы проверены</x:v>
      </x:c>
    </x:row>
    <x:row r="13" ht="52" customHeight="1">
      <x:c r="A13" s="23" t="n">
        <x:v>54</x:v>
      </x:c>
      <x:c r="B13" s="23" t="n">
        <x:v>64</x:v>
      </x:c>
      <x:c r="C13" s="23" t="str">
        <x:v>Узлы армирования стен. Расход стали</x:v>
      </x:c>
      <x:c r="D13" s="23" t="str">
        <x:v>01-2024-ИЯИ-АС.2 изм от 03.07.26.pdf</x:v>
      </x:c>
      <x:c r="E13" s="23" t="str">
        <x:v>sources/L1_sheets47_69.pdf#page=8</x:v>
      </x:c>
      <x:c r="F13" s="23" t="str">
        <x:v>Основной диапазон; графика и таблицы проверены</x:v>
      </x:c>
    </x:row>
    <x:row r="14" ht="52" customHeight="1">
      <x:c r="A14" s="23" t="n">
        <x:v>55</x:v>
      </x:c>
      <x:c r="B14" s="23" t="n">
        <x:v>65</x:v>
      </x:c>
      <x:c r="C14" s="23" t="str">
        <x:v>Л-1. Разрез 1-1. Сечения 2-2…6-6</x:v>
      </x:c>
      <x:c r="D14" s="23" t="str">
        <x:v>01-2024-ИЯИ-АС.2 изм от 03.07.26.pdf</x:v>
      </x:c>
      <x:c r="E14" s="23" t="str">
        <x:v>sources/L1_sheets47_69.pdf#page=9</x:v>
      </x:c>
      <x:c r="F14" s="23" t="str">
        <x:v>Основной диапазон; графика и таблицы проверены</x:v>
      </x:c>
    </x:row>
    <x:row r="15" ht="52" customHeight="1">
      <x:c r="A15" s="23" t="n">
        <x:v>56</x:v>
      </x:c>
      <x:c r="B15" s="23" t="n">
        <x:v>66</x:v>
      </x:c>
      <x:c r="C15" s="23" t="str">
        <x:v>Сечения 7-7, 8-8, узлы А–Г; общая спецификация</x:v>
      </x:c>
      <x:c r="D15" s="23" t="str">
        <x:v>01-2024-ИЯИ-АС.2 изм от 03.07.26.pdf</x:v>
      </x:c>
      <x:c r="E15" s="23" t="str">
        <x:v>sources/L1_sheets47_69.pdf#page=10</x:v>
      </x:c>
      <x:c r="F15" s="23" t="str">
        <x:v>Основной диапазон; графика и таблицы проверены</x:v>
      </x:c>
    </x:row>
    <x:row r="16" ht="52" customHeight="1">
      <x:c r="A16" s="23" t="n">
        <x:v>57</x:v>
      </x:c>
      <x:c r="B16" s="23" t="n">
        <x:v>67</x:v>
      </x:c>
      <x:c r="C16" s="23" t="str">
        <x:v>Металлические балки МБ1–МБ3</x:v>
      </x:c>
      <x:c r="D16" s="23" t="str">
        <x:v>01-2024-ИЯИ-АС.2 изм от 03.07.26.pdf</x:v>
      </x:c>
      <x:c r="E16" s="23" t="str">
        <x:v>sources/L1_sheets47_69.pdf#page=11</x:v>
      </x:c>
      <x:c r="F16" s="23" t="str">
        <x:v>Основной диапазон; графика и таблицы проверены</x:v>
      </x:c>
    </x:row>
    <x:row r="17" ht="52" customHeight="1">
      <x:c r="A17" s="23" t="n">
        <x:v>58</x:v>
      </x:c>
      <x:c r="B17" s="23" t="n">
        <x:v>68</x:v>
      </x:c>
      <x:c r="C17" s="23" t="str">
        <x:v>Косоуры КС1–КС4</x:v>
      </x:c>
      <x:c r="D17" s="23" t="str">
        <x:v>01-2024-ИЯИ-АС.2 изм от 03.07.26.pdf</x:v>
      </x:c>
      <x:c r="E17" s="23" t="str">
        <x:v>sources/L1_sheets47_69.pdf#page=12</x:v>
      </x:c>
      <x:c r="F17" s="23" t="str">
        <x:v>Основной диапазон; графика и таблицы проверены</x:v>
      </x:c>
    </x:row>
    <x:row r="18" ht="52" customHeight="1">
      <x:c r="A18" s="23" t="n">
        <x:v>59</x:v>
      </x:c>
      <x:c r="B18" s="23" t="n">
        <x:v>69</x:v>
      </x:c>
      <x:c r="C18" s="23" t="str">
        <x:v>Спецификация косоуров</x:v>
      </x:c>
      <x:c r="D18" s="23" t="str">
        <x:v>01-2024-ИЯИ-АС.2 изм от 03.07.26.pdf</x:v>
      </x:c>
      <x:c r="E18" s="23" t="str">
        <x:v>sources/L1_sheets47_69.pdf#page=13</x:v>
      </x:c>
      <x:c r="F18" s="23" t="str">
        <x:v>Основной диапазон; графика и таблицы проверены</x:v>
      </x:c>
    </x:row>
    <x:row r="19" ht="52" customHeight="1">
      <x:c r="A19" s="23" t="n">
        <x:v>60</x:v>
      </x:c>
      <x:c r="B19" s="23" t="n">
        <x:v>70</x:v>
      </x:c>
      <x:c r="C19" s="23" t="str">
        <x:v>Площадка ЛП1</x:v>
      </x:c>
      <x:c r="D19" s="23" t="str">
        <x:v>01-2024-ИЯИ-АС.2 изм от 03.07.26.pdf</x:v>
      </x:c>
      <x:c r="E19" s="23" t="str">
        <x:v>sources/L1_sheets47_69.pdf#page=14</x:v>
      </x:c>
      <x:c r="F19" s="23" t="str">
        <x:v>Основной диапазон; графика и таблицы проверены</x:v>
      </x:c>
    </x:row>
    <x:row r="20" ht="52" customHeight="1">
      <x:c r="A20" s="23" t="n">
        <x:v>61</x:v>
      </x:c>
      <x:c r="B20" s="23" t="n">
        <x:v>71</x:v>
      </x:c>
      <x:c r="C20" s="23" t="str">
        <x:v>Площадка ЛП2</x:v>
      </x:c>
      <x:c r="D20" s="23" t="str">
        <x:v>01-2024-ИЯИ-АС.2 изм от 03.07.26.pdf</x:v>
      </x:c>
      <x:c r="E20" s="23" t="str">
        <x:v>sources/L1_sheets47_69.pdf#page=15</x:v>
      </x:c>
      <x:c r="F20" s="23" t="str">
        <x:v>Основной диапазон; графика и таблицы проверены</x:v>
      </x:c>
    </x:row>
    <x:row r="21" ht="52" customHeight="1">
      <x:c r="A21" s="23" t="n">
        <x:v>62</x:v>
      </x:c>
      <x:c r="B21" s="23" t="n">
        <x:v>72</x:v>
      </x:c>
      <x:c r="C21" s="23" t="str">
        <x:v>Площадка ЛП3</x:v>
      </x:c>
      <x:c r="D21" s="23" t="str">
        <x:v>01-2024-ИЯИ-АС.2 изм от 03.07.26.pdf</x:v>
      </x:c>
      <x:c r="E21" s="23" t="str">
        <x:v>sources/L1_sheets47_69.pdf#page=16</x:v>
      </x:c>
      <x:c r="F21" s="23" t="str">
        <x:v>Основной диапазон; графика и таблицы проверены</x:v>
      </x:c>
    </x:row>
    <x:row r="22" ht="52" customHeight="1">
      <x:c r="A22" s="23" t="n">
        <x:v>63</x:v>
      </x:c>
      <x:c r="B22" s="23" t="n">
        <x:v>73</x:v>
      </x:c>
      <x:c r="C22" s="23" t="str">
        <x:v>Площадка ЛП4</x:v>
      </x:c>
      <x:c r="D22" s="23" t="str">
        <x:v>01-2024-ИЯИ-АС.2 изм от 03.07.26.pdf</x:v>
      </x:c>
      <x:c r="E22" s="23" t="str">
        <x:v>sources/L1_sheets47_69.pdf#page=17</x:v>
      </x:c>
      <x:c r="F22" s="23" t="str">
        <x:v>Основной диапазон; графика и таблицы проверены</x:v>
      </x:c>
    </x:row>
    <x:row r="23" ht="52" customHeight="1">
      <x:c r="A23" s="23" t="n">
        <x:v>64</x:v>
      </x:c>
      <x:c r="B23" s="23" t="n">
        <x:v>74</x:v>
      </x:c>
      <x:c r="C23" s="23" t="str">
        <x:v>Площадки: сечение и ведомость деталей</x:v>
      </x:c>
      <x:c r="D23" s="23" t="str">
        <x:v>01-2024-ИЯИ-АС.2 изм от 03.07.26.pdf</x:v>
      </x:c>
      <x:c r="E23" s="23" t="str">
        <x:v>sources/L1_sheets47_69.pdf#page=18</x:v>
      </x:c>
      <x:c r="F23" s="23" t="str">
        <x:v>Основной диапазон; графика и таблицы проверены</x:v>
      </x:c>
    </x:row>
    <x:row r="24" ht="52" customHeight="1">
      <x:c r="A24" s="23" t="n">
        <x:v>65</x:v>
      </x:c>
      <x:c r="B24" s="23" t="n">
        <x:v>75</x:v>
      </x:c>
      <x:c r="C24" s="23" t="str">
        <x:v>Каркасы Кр-1…Кр-7</x:v>
      </x:c>
      <x:c r="D24" s="23" t="str">
        <x:v>01-2024-ИЯИ-АС.2 изм от 03.07.26.pdf</x:v>
      </x:c>
      <x:c r="E24" s="23" t="str">
        <x:v>sources/L1_sheets47_69.pdf#page=19</x:v>
      </x:c>
      <x:c r="F24" s="23" t="str">
        <x:v>Основной диапазон; графика и таблицы проверены</x:v>
      </x:c>
    </x:row>
    <x:row r="25" ht="52" customHeight="1">
      <x:c r="A25" s="23" t="n">
        <x:v>66</x:v>
      </x:c>
      <x:c r="B25" s="23" t="n">
        <x:v>76</x:v>
      </x:c>
      <x:c r="C25" s="23" t="str">
        <x:v>МУ1 на +3,500 и +7,100</x:v>
      </x:c>
      <x:c r="D25" s="23" t="str">
        <x:v>01-2024-ИЯИ-АС.2 изм от 03.07.26.pdf</x:v>
      </x:c>
      <x:c r="E25" s="23" t="str">
        <x:v>sources/L1_sheets47_69.pdf#page=20</x:v>
      </x:c>
      <x:c r="F25" s="23" t="str">
        <x:v>Основной диапазон; графика и таблицы проверены</x:v>
      </x:c>
    </x:row>
    <x:row r="26" ht="52" customHeight="1">
      <x:c r="A26" s="23" t="n">
        <x:v>67</x:v>
      </x:c>
      <x:c r="B26" s="23" t="n">
        <x:v>77</x:v>
      </x:c>
      <x:c r="C26" s="23" t="str">
        <x:v>МУ2 на +3,500</x:v>
      </x:c>
      <x:c r="D26" s="23" t="str">
        <x:v>01-2024-ИЯИ-АС.2 изм от 03.07.26.pdf</x:v>
      </x:c>
      <x:c r="E26" s="23" t="str">
        <x:v>sources/L1_sheets47_69.pdf#page=21</x:v>
      </x:c>
      <x:c r="F26" s="23" t="str">
        <x:v>Основной диапазон; графика и таблицы проверены</x:v>
      </x:c>
    </x:row>
    <x:row r="27" ht="52" customHeight="1">
      <x:c r="A27" s="23" t="n">
        <x:v>68</x:v>
      </x:c>
      <x:c r="B27" s="23" t="n">
        <x:v>78</x:v>
      </x:c>
      <x:c r="C27" s="23" t="str">
        <x:v>МУ3 на +7,100</x:v>
      </x:c>
      <x:c r="D27" s="23" t="str">
        <x:v>01-2024-ИЯИ-АС.2 изм от 03.07.26.pdf</x:v>
      </x:c>
      <x:c r="E27" s="23" t="str">
        <x:v>sources/L1_sheets47_69.pdf#page=22</x:v>
      </x:c>
      <x:c r="F27" s="23" t="str">
        <x:v>Основной диапазон; графика и таблицы проверены</x:v>
      </x:c>
    </x:row>
    <x:row r="28" ht="52" customHeight="1">
      <x:c r="A28" s="23" t="n">
        <x:v>69</x:v>
      </x:c>
      <x:c r="B28" s="23" t="n">
        <x:v>79</x:v>
      </x:c>
      <x:c r="C28" s="23" t="str">
        <x:v>Плита покрытия Пп-1</x:v>
      </x:c>
      <x:c r="D28" s="23" t="str">
        <x:v>01-2024-ИЯИ-АС.2 изм от 03.07.26.pdf</x:v>
      </x:c>
      <x:c r="E28" s="23" t="str">
        <x:v>sources/L1_sheets47_69.pdf#page=23</x:v>
      </x:c>
      <x:c r="F28" s="23" t="str">
        <x:v>Основной диапазон; графика и таблицы проверены</x:v>
      </x:c>
    </x:row>
    <x:row r="29" ht="52" customHeight="1">
      <x:c r="A29" s="23" t="n">
        <x:v>70</x:v>
      </x:c>
      <x:c r="B29" s="23" t="n">
        <x:v>80</x:v>
      </x:c>
      <x:c r="C29" s="23" t="str">
        <x:v>Огнезащита R60, КНАУФ-Файерборд</x:v>
      </x:c>
      <x:c r="D29" s="23" t="str">
        <x:v>01-2024-ИЯИ-АС.2 изм от 03.07.26.pdf</x:v>
      </x:c>
      <x:c r="E29" s="23" t="str">
        <x:v>sources/L1_supp_sheet70.pdf#page=1</x:v>
      </x:c>
      <x:c r="F29" s="23" t="str">
        <x:v>Дополнение вне диапазона по прямой ссылке л.55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97a8a6cca94b4340"/>
  </x:tableParts>
</x:worksheet>
</file>