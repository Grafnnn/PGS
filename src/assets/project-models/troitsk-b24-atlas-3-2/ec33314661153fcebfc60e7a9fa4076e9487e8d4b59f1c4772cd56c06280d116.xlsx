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da82ad76b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" sheetId="1" r:id="Rf5e2d39e1a7c4af6"/>
    <x:sheet xmlns:r="http://schemas.openxmlformats.org/officeDocument/2006/relationships" name="01_Реестр_МУ" sheetId="2" r:id="Rafa7a2c4b32b4405"/>
    <x:sheet xmlns:r="http://schemas.openxmlformats.org/officeDocument/2006/relationships" name="02_СП_1-2_этажи" sheetId="3" r:id="R987dd07b440249c3"/>
    <x:sheet xmlns:r="http://schemas.openxmlformats.org/officeDocument/2006/relationships" name="03_СП_2-3_этажи" sheetId="4" r:id="R3433cca8259944d7"/>
    <x:sheet xmlns:r="http://schemas.openxmlformats.org/officeDocument/2006/relationships" name="04_Б1_состав" sheetId="5" r:id="R8b5afaf0a3a64a79"/>
    <x:sheet xmlns:r="http://schemas.openxmlformats.org/officeDocument/2006/relationships" name="05_ВОР_поэтажно" sheetId="6" r:id="R29456f6bc3784558"/>
    <x:sheet xmlns:r="http://schemas.openxmlformats.org/officeDocument/2006/relationships" name="06_Отверстия" sheetId="7" r:id="R51e15efaa3704390"/>
    <x:sheet xmlns:r="http://schemas.openxmlformats.org/officeDocument/2006/relationships" name="07_Обрамления" sheetId="8" r:id="Re7cbf880837c4aa2"/>
    <x:sheet xmlns:r="http://schemas.openxmlformats.org/officeDocument/2006/relationships" name="08_Вопросы_РД" sheetId="9" r:id="R646b811be73f481d"/>
    <x:sheet xmlns:r="http://schemas.openxmlformats.org/officeDocument/2006/relationships" name="09_Источники" sheetId="10" r:id="R38f5649f0b9148b9"/>
    <x:sheet xmlns:r="http://schemas.openxmlformats.org/officeDocument/2006/relationships" name="10_Контроль" sheetId="11" r:id="R55e7e696e5f24f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"/>
    <x:numFmt numFmtId="202" formatCode="0.0000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4F6872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944"/>
      </x:patternFill>
    </x:fill>
    <x:fill>
      <x:patternFill patternType="solid">
        <x:fgColor rgb="FFEDF4F5"/>
      </x:patternFill>
    </x:fill>
    <x:fill>
      <x:patternFill patternType="solid">
        <x:fgColor rgb="FF287982"/>
      </x:patternFill>
    </x:fill>
    <x:fill>
      <x:patternFill patternType="solid">
        <x:fgColor rgb="FFF0F5F5"/>
      </x:patternFill>
    </x:fill>
    <x:fill>
      <x:patternFill patternType="solid">
        <x:fgColor rgb="FFDDEBED"/>
      </x:patternFill>
    </x:fill>
    <x:fill>
      <x:patternFill patternType="solid">
        <x:fgColor rgb="FFFFF0C9"/>
      </x:patternFill>
    </x:fill>
  </x:fills>
  <x:borders count="2">
    <x:border/>
    <x:border/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5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201" fontId="4" fillId="5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201" fontId="4" fillId="7" borderId="0" xfId="0" applyNumberFormat="1" applyFont="1" applyFill="1" applyBorder="1" applyAlignment="1">
      <x:alignment vertical="center" wrapText="1"/>
    </x:xf>
    <x:xf numFmtId="201" fontId="4" fillId="7" borderId="1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201" fontId="4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1" fontId="4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201" fontId="5" fillId="6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1" fontId="4" fillId="5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201" fontId="5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1" fontId="4" fillId="5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201" fontId="5" fillId="6" borderId="1" xfId="0" applyNumberFormat="1" applyFont="1" applyFill="1" applyBorder="1" applyAlignment="1">
      <x:alignment horizontal="center"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4" fillId="5" borderId="1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/>
    <x:xf numFmtId="200" fontId="4" fillId="5" borderId="0" xfId="0" applyNumberFormat="1" applyFont="1" applyFill="1" applyBorder="1" applyAlignment="1">
      <x:alignment horizontal="center" vertical="center" wrapText="1"/>
    </x:xf>
    <x:xf numFmtId="203" fontId="4" fillId="5" borderId="0" xfId="0" applyNumberFormat="1" applyFont="1" applyFill="1" applyBorder="1" applyAlignment="1">
      <x:alignment horizontal="center" vertical="center" wrapText="1"/>
    </x:xf>
    <x:xf numFmtId="200" fontId="4" fillId="0" borderId="0" xfId="0" applyNumberFormat="1" applyFont="1" applyFill="1" applyBorder="1" applyAlignment="1">
      <x:alignment horizontal="center" vertical="center" wrapText="1"/>
    </x:xf>
    <x:xf numFmtId="203" fontId="4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 wrapText="1"/>
    </x:xf>
    <x:xf numFmtId="203" fontId="4" fillId="5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3" fontId="4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/>
    </x:xf>
    <x:xf numFmtId="203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 patternType="solid">
          <x:bgColor rgb="FFFFF0C9"/>
        </x:patternFill>
      </x:fill>
    </x:dxf>
    <x:dxf>
      <x:fill>
        <x:patternFill patternType="solid">
          <x:bgColor rgb="FFF9DDDC"/>
        </x:patternFill>
      </x:fill>
    </x:dxf>
    <x:dxf>
      <x:fill>
        <x:patternFill patternType="solid">
          <x:bgColor rgb="FFF9DDDC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F5CDC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91b8c3b854e69" /><Relationship Type="http://schemas.openxmlformats.org/officeDocument/2006/relationships/theme" Target="/xl/theme/theme1.xml" Id="Rdc99c20710f1493b" /><Relationship Type="http://schemas.openxmlformats.org/officeDocument/2006/relationships/sharedStrings" Target="/xl/sharedStrings.xml" Id="R9cb40d0e14864231" /><Relationship Type="http://schemas.openxmlformats.org/officeDocument/2006/relationships/worksheet" Target="/xl/worksheets/sheet1.xml" Id="Rf5e2d39e1a7c4af6" /><Relationship Type="http://schemas.openxmlformats.org/officeDocument/2006/relationships/worksheet" Target="/xl/worksheets/sheet2.xml" Id="Rafa7a2c4b32b4405" /><Relationship Type="http://schemas.openxmlformats.org/officeDocument/2006/relationships/worksheet" Target="/xl/worksheets/sheet3.xml" Id="R987dd07b440249c3" /><Relationship Type="http://schemas.openxmlformats.org/officeDocument/2006/relationships/worksheet" Target="/xl/worksheets/sheet4.xml" Id="R3433cca8259944d7" /><Relationship Type="http://schemas.openxmlformats.org/officeDocument/2006/relationships/worksheet" Target="/xl/worksheets/sheet5.xml" Id="R8b5afaf0a3a64a79" /><Relationship Type="http://schemas.openxmlformats.org/officeDocument/2006/relationships/worksheet" Target="/xl/worksheets/sheet6.xml" Id="R29456f6bc3784558" /><Relationship Type="http://schemas.openxmlformats.org/officeDocument/2006/relationships/worksheet" Target="/xl/worksheets/sheet7.xml" Id="R51e15efaa3704390" /><Relationship Type="http://schemas.openxmlformats.org/officeDocument/2006/relationships/worksheet" Target="/xl/worksheets/sheet8.xml" Id="Re7cbf880837c4aa2" /><Relationship Type="http://schemas.openxmlformats.org/officeDocument/2006/relationships/worksheet" Target="/xl/worksheets/sheet9.xml" Id="R646b811be73f481d" /><Relationship Type="http://schemas.openxmlformats.org/officeDocument/2006/relationships/worksheet" Target="/xl/worksheets/sheet10.xml" Id="R38f5649f0b9148b9" /><Relationship Type="http://schemas.openxmlformats.org/officeDocument/2006/relationships/worksheet" Target="/xl/worksheets/sheet11.xml" Id="R55e7e696e5f24fc6" /></Relationships>
</file>

<file path=xl/tables/table1.xml><?xml version="1.0" encoding="utf-8"?>
<x:table xmlns:x="http://schemas.openxmlformats.org/spreadsheetml/2006/main" id="10" name="T_00" displayName="T_00" ref="A5:H8" headerRowCount="1" totalsRowCount="0" totalsRowShown="0">
  <x:tableColumns count="8">
    <x:tableColumn id="1" name="Участок"/>
    <x:tableColumn id="2" name="Лист"/>
    <x:tableColumn id="3" name="МУ, шт."/>
    <x:tableColumn id="4" name="Б1, шт."/>
    <x:tableColumn id="5" name="Бетон РД, м³"/>
    <x:tableColumn id="6" name="Н75 РД, м²"/>
    <x:tableColumn id="7" name="Отверстия в МУ"/>
    <x:tableColumn id="8" name="Ограничение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_01" displayName="T_01" ref="A5:J53" headerRowCount="1" totalsRowCount="0" totalsRowShown="0">
  <x:tableColumns count="10">
    <x:tableColumn id="1" name="ID в модели"/>
    <x:tableColumn id="2" name="Схема, лист"/>
    <x:tableColumn id="3" name="Верх, м"/>
    <x:tableColumn id="4" name="Марка"/>
    <x:tableColumn id="5" name="Б1, шт."/>
    <x:tableColumn id="6" name="Бетон РД, м³"/>
    <x:tableColumn id="7" name="Профлист РД, м²"/>
    <x:tableColumn id="8" name="Контуры отверстий, шт."/>
    <x:tableColumn id="9" name="Источник"/>
    <x:tableColumn id="10" name="Статус / ограничение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_02" displayName="T_02" ref="A5:K152" headerRowCount="1" totalsRowCount="0" totalsRowShown="0">
  <x:tableColumns count="11">
    <x:tableColumn id="1" name="Марка"/>
    <x:tableColumn id="2" name="Поз."/>
    <x:tableColumn id="3" name="Наименование по РД"/>
    <x:tableColumn id="4" name="Ед."/>
    <x:tableColumn id="5" name="На 1 МУ"/>
    <x:tableColumn id="6" name="МУ на схеме"/>
    <x:tableColumn id="7" name="Общее количество"/>
    <x:tableColumn id="8" name="Масса ед. РД, кг"/>
    <x:tableColumn id="9" name="Арифм. масса, кг"/>
    <x:tableColumn id="10" name="Источник"/>
    <x:tableColumn id="11" name="Примечани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_03" displayName="T_03" ref="A5:K157" headerRowCount="1" totalsRowCount="0" totalsRowShown="0">
  <x:tableColumns count="11">
    <x:tableColumn id="1" name="Марка"/>
    <x:tableColumn id="2" name="Поз."/>
    <x:tableColumn id="3" name="Наименование по РД"/>
    <x:tableColumn id="4" name="Ед."/>
    <x:tableColumn id="5" name="На 1 МУ"/>
    <x:tableColumn id="6" name="МУ на схеме"/>
    <x:tableColumn id="7" name="Общее количество"/>
    <x:tableColumn id="8" name="Масса ед. РД, кг"/>
    <x:tableColumn id="9" name="Арифм. масса, кг"/>
    <x:tableColumn id="10" name="Источник"/>
    <x:tableColumn id="11" name="Примечание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_04" displayName="T_04" ref="A5:G9" headerRowCount="1" totalsRowCount="0" totalsRowShown="0">
  <x:tableColumns count="7">
    <x:tableColumn id="1" name="Поз."/>
    <x:tableColumn id="2" name="Элемент"/>
    <x:tableColumn id="3" name="Длина, мм"/>
    <x:tableColumn id="4" name="На Б1, шт."/>
    <x:tableColumn id="5" name="Масса ед., кг"/>
    <x:tableColumn id="6" name="На Б1, кг"/>
    <x:tableColumn id="7" name="Источни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_05" displayName="T_05" ref="A5:G37" headerRowCount="1" totalsRowCount="0" totalsRowShown="0">
  <x:tableColumns count="7">
    <x:tableColumn id="1" name="Участок"/>
    <x:tableColumn id="2" name="Схема"/>
    <x:tableColumn id="3" name="Работа"/>
    <x:tableColumn id="4" name="Ед."/>
    <x:tableColumn id="5" name="Количество"/>
    <x:tableColumn id="6" name="Источник"/>
    <x:tableColumn id="7" name="Граница объёма / пояснение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_06" displayName="T_06" ref="A5:J100" headerRowCount="1" totalsRowCount="0" totalsRowShown="0">
  <x:tableColumns count="10">
    <x:tableColumn id="1" name="ID"/>
    <x:tableColumn id="2" name="МУ"/>
    <x:tableColumn id="3" name="Верх, м"/>
    <x:tableColumn id="4" name="Форма"/>
    <x:tableColumn id="5" name="Ширина/Ø, мм"/>
    <x:tableColumn id="6" name="Высота, мм"/>
    <x:tableColumn id="7" name="X центра, м"/>
    <x:tableColumn id="8" name="Y центра, м"/>
    <x:tableColumn id="9" name="Источник"/>
    <x:tableColumn id="10" name="Примечание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_07" displayName="T_07" ref="A5:I76" headerRowCount="1" totalsRowCount="0" totalsRowShown="0">
  <x:tableColumns count="9">
    <x:tableColumn id="1" name="ID МУ"/>
    <x:tableColumn id="2" name="Марка"/>
    <x:tableColumn id="3" name="Поз."/>
    <x:tableColumn id="4" name="Деталь по РД"/>
    <x:tableColumn id="5" name="РД, шт."/>
    <x:tableColumn id="6" name="В 3D, шт."/>
    <x:tableColumn id="7" name="Не размещено, шт."/>
    <x:tableColumn id="8" name="Источник"/>
    <x:tableColumn id="9" name="Стату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_08" displayName="T_08" ref="A5:D19" headerRowCount="1" totalsRowCount="0" totalsRowShown="0">
  <x:tableColumns count="4">
    <x:tableColumn id="1" name="ID"/>
    <x:tableColumn id="2" name="Вопрос"/>
    <x:tableColumn id="3" name="Источник"/>
    <x:tableColumn id="4" name="Что показано / что требуется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_09" displayName="T_09" ref="A5:E13" headerRowCount="1" totalsRowCount="0" totalsRowShown="0">
  <x:tableColumns count="5">
    <x:tableColumn id="1" name="Код"/>
    <x:tableColumn id="2" name="Файл / лист"/>
    <x:tableColumn id="3" name="Страницы / объём"/>
    <x:tableColumn id="4" name="Использование"/>
    <x:tableColumn id="5" name="Ограничение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10" displayName="T_10" ref="A5:E12" headerRowCount="1" totalsRowCount="0" totalsRowShown="0">
  <x:tableColumns count="5">
    <x:tableColumn id="1" name="Проверка"/>
    <x:tableColumn id="2" name="Ожидается"/>
    <x:tableColumn id="3" name="В реестре"/>
    <x:tableColumn id="4" name="Проверка"/>
    <x:tableColumn id="5" name="Основ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9e1faf2af348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628d26ed8f4b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bc1094c04840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3d3246083345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70110b9c7b54f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5db8969fa3e49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7f8edc9257042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90d4b933fc542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4a31e9a41c141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6cd26b435994a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6e8beb1e1f8421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9" hidden="0" customWidth="1"/>
    <x:col min="3" max="3" width="12" hidden="0" customWidth="1"/>
    <x:col min="4" max="4" width="12" hidden="0" customWidth="1"/>
    <x:col min="5" max="5" width="17" hidden="0" customWidth="1"/>
    <x:col min="6" max="6" width="17" hidden="0" customWidth="1"/>
    <x:col min="7" max="7" width="18" hidden="0" customWidth="1"/>
    <x:col min="8" max="8" width="45" hidden="0" customWidth="1"/>
  </x:cols>
  <x:sheetData>
    <x:row r="1" ht="22" customHeight="1">
      <x:c r="A1" s="95" t="str">
        <x:v>ТРОИЦК · ИЯИ · ЗДАНИЕ 24 / R05</x:v>
      </x:c>
      <x:c r="B1" s="95"/>
      <x:c r="C1" s="95"/>
      <x:c r="D1" s="95"/>
      <x:c r="E1" s="95"/>
      <x:c r="F1" s="95"/>
      <x:c r="G1" s="95"/>
      <x:c r="H1" s="95"/>
      <x:c r="I1" s="96"/>
      <x:c r="J1" s="96"/>
    </x:row>
    <x:row r="2" ht="22" customHeight="1">
      <x:c r="A2" s="95"/>
      <x:c r="B2" s="95"/>
      <x:c r="C2" s="95"/>
      <x:c r="D2" s="95"/>
      <x:c r="E2" s="95"/>
      <x:c r="F2" s="95"/>
      <x:c r="G2" s="95"/>
      <x:c r="H2" s="95"/>
      <x:c r="I2" s="96"/>
      <x:c r="J2" s="96"/>
    </x:row>
    <x:row r="3" ht="36" customHeight="1">
      <x:c r="A3" s="10" t="str">
        <x:v>Усиление межэтажных перекрытий. Модель по РД, не исполнительная съёмка. Реестр выпущен вместе с единой моделью здания, кровли и Л-1.</x:v>
      </x:c>
      <x:c r="B3" s="10"/>
      <x:c r="C3" s="10"/>
      <x:c r="D3" s="10"/>
      <x:c r="E3" s="10"/>
      <x:c r="F3" s="10"/>
      <x:c r="G3" s="10"/>
      <x:c r="H3" s="10"/>
    </x:row>
    <x:row r="5" ht="40" customHeight="1">
      <x:c r="A5" s="16" t="str">
        <x:v>Участок</x:v>
      </x:c>
      <x:c r="B5" s="16" t="str">
        <x:v>Лист</x:v>
      </x:c>
      <x:c r="C5" s="16" t="str">
        <x:v>МУ, шт.</x:v>
      </x:c>
      <x:c r="D5" s="16" t="str">
        <x:v>Б1, шт.</x:v>
      </x:c>
      <x:c r="E5" s="16" t="str">
        <x:v>Бетон РД, м³</x:v>
      </x:c>
      <x:c r="F5" s="16" t="str">
        <x:v>Н75 РД, м²</x:v>
      </x:c>
      <x:c r="G5" s="16" t="str">
        <x:v>Отверстия в МУ</x:v>
      </x:c>
      <x:c r="H5" s="16" t="str">
        <x:v>Ограничение</x:v>
      </x:c>
    </x:row>
    <x:row r="6" ht="48" customHeight="1">
      <x:c r="A6" s="26" t="str">
        <x:v>Перекрытие 1–2 этажей</x:v>
      </x:c>
      <x:c r="B6" s="26" t="n">
        <x:v>20</x:v>
      </x:c>
      <x:c r="C6" s="65" t="n">
        <x:f>COUNTIF('01_Реестр_МУ'!$B$6:$B$53,B6)</x:f>
        <x:v>23</x:v>
      </x:c>
      <x:c r="D6" s="65" t="n">
        <x:f>SUMIF('01_Реестр_МУ'!$B$6:$B$53,B6,'01_Реестр_МУ'!$E$6:$E$53)</x:f>
        <x:v>34</x:v>
      </x:c>
      <x:c r="E6" s="66" t="n">
        <x:f>SUMIF('01_Реестр_МУ'!$B$6:$B$53,B6,'01_Реестр_МУ'!$F$6:$F$53)</x:f>
        <x:v>33.010000000000005</x:v>
      </x:c>
      <x:c r="F6" s="66" t="n">
        <x:f>SUMIF('01_Реестр_МУ'!$B$6:$B$53,B6,'01_Реестр_МУ'!$G$6:$G$53)</x:f>
        <x:v>161.9</x:v>
      </x:c>
      <x:c r="G6" s="65" t="n">
        <x:f>SUMIF('01_Реестр_МУ'!$B$6:$B$53,B6,'01_Реестр_МУ'!$H$6:$H$53)</x:f>
        <x:v>46</x:v>
      </x:c>
      <x:c r="H6" s="26" t="str">
        <x:v>23 МУ по л.20; МУ23 условно +4,700.</x:v>
      </x:c>
    </x:row>
    <x:row r="7" ht="48" customHeight="1">
      <x:c r="A7" s="22" t="str">
        <x:v>Перекрытие 2–3 этажей</x:v>
      </x:c>
      <x:c r="B7" s="22" t="n">
        <x:v>21</x:v>
      </x:c>
      <x:c r="C7" s="67" t="n">
        <x:f>COUNTIF('01_Реестр_МУ'!$B$6:$B$53,B7)</x:f>
        <x:v>25</x:v>
      </x:c>
      <x:c r="D7" s="67" t="n">
        <x:f>SUMIF('01_Реестр_МУ'!$B$6:$B$53,B7,'01_Реестр_МУ'!$E$6:$E$53)</x:f>
        <x:v>34</x:v>
      </x:c>
      <x:c r="E7" s="68" t="n">
        <x:f>SUMIF('01_Реестр_МУ'!$B$6:$B$53,B7,'01_Реестр_МУ'!$F$6:$F$53)</x:f>
        <x:v>35.23</x:v>
      </x:c>
      <x:c r="F7" s="68" t="n">
        <x:f>SUMIF('01_Реестр_МУ'!$B$6:$B$53,B7,'01_Реестр_МУ'!$G$6:$G$53)</x:f>
        <x:v>161.20999999999998</x:v>
      </x:c>
      <x:c r="G7" s="67" t="n">
        <x:f>SUMIF('01_Реестр_МУ'!$B$6:$B$53,B7,'01_Реестр_МУ'!$H$6:$H$53)</x:f>
        <x:v>49</x:v>
      </x:c>
      <x:c r="H7" s="22" t="str">
        <x:v>25 МУ по л.21; МУ10 — 2 экземпляра.</x:v>
      </x:c>
    </x:row>
    <x:row r="8" ht="48" customHeight="1">
      <x:c r="A8" s="54" t="str">
        <x:v>ИТОГО</x:v>
      </x:c>
      <x:c r="B8" s="54"/>
      <x:c r="C8" s="69" t="n">
        <x:f>SUM(C6:C7)</x:f>
        <x:v>48</x:v>
      </x:c>
      <x:c r="D8" s="69" t="n">
        <x:f>SUM(D6:D7)</x:f>
        <x:v>68</x:v>
      </x:c>
      <x:c r="E8" s="70" t="n">
        <x:f>SUM(E6:E7)</x:f>
        <x:v>68.24000000000001</x:v>
      </x:c>
      <x:c r="F8" s="70" t="n">
        <x:f>SUM(F6:F7)</x:f>
        <x:v>323.11</x:v>
      </x:c>
      <x:c r="G8" s="69" t="n">
        <x:f>SUM(G6:G7)</x:f>
        <x:v>95</x:v>
      </x:c>
      <x:c r="H8" s="54" t="str">
        <x:v>Без МУ кровли и без внутренних МУ лестницы Л-1.</x:v>
      </x:c>
    </x:row>
    <x:row r="11" ht="26" customHeight="1">
      <x:c r="A11" s="63" t="str">
        <x:v>КАК ЧИТАТЬ</x:v>
      </x:c>
      <x:c r="B11" s="63"/>
      <x:c r="C11" s="61" t="str">
        <x:v>01 — экземпляры в 3D; 02/03 — поэтажные спецификации из РД; 04 — состав Б1; 05 — ВОР; 06 — контуры отверстий; 07 — неполнота обрамлений; 08 — вопросы проектировщику.</x:v>
      </x:c>
      <x:c r="D11" s="61"/>
      <x:c r="E11" s="61"/>
      <x:c r="F11" s="61"/>
      <x:c r="G11" s="61"/>
      <x:c r="H11" s="61"/>
    </x:row>
    <x:row r="12" ht="26" customHeight="1">
      <x:c r="A12" s="63"/>
      <x:c r="B12" s="63"/>
      <x:c r="C12" s="61"/>
      <x:c r="D12" s="61"/>
      <x:c r="E12" s="61"/>
      <x:c r="F12" s="61"/>
      <x:c r="G12" s="61"/>
      <x:c r="H12" s="61"/>
    </x:row>
    <x:row r="14" ht="26" customHeight="1">
      <x:c r="A14" s="63" t="str">
        <x:v>ЧТО НЕ СКЛАДЫВАТЬ</x:v>
      </x:c>
      <x:c r="B14" s="63"/>
      <x:c r="C14" s="61" t="str">
        <x:v>Массы сборок Б1 и их составных деталей нельзя учитывать дважды. Массы КР в спецификации не заменены произвольными числами. Общая стоимость/масса всего усиления не заявлена.</x:v>
      </x:c>
      <x:c r="D14" s="61"/>
      <x:c r="E14" s="61"/>
      <x:c r="F14" s="61"/>
      <x:c r="G14" s="61"/>
      <x:c r="H14" s="61"/>
    </x:row>
    <x:row r="15" ht="26" customHeight="1">
      <x:c r="A15" s="63"/>
      <x:c r="B15" s="63"/>
      <x:c r="C15" s="61"/>
      <x:c r="D15" s="61"/>
      <x:c r="E15" s="61"/>
      <x:c r="F15" s="61"/>
      <x:c r="G15" s="61"/>
      <x:c r="H15" s="61"/>
    </x:row>
    <x:row r="17" ht="26" customHeight="1">
      <x:c r="A17" s="63" t="str">
        <x:v>ГЕОМЕТРИЯ И РАСХОД</x:v>
      </x:c>
      <x:c r="B17" s="63"/>
      <x:c r="C17" s="61" t="str">
        <x:v>Бетон и профлист взяты из ведомостей РД. Оболочки МУ не воспроизводят все гофры профнастила. Геометрические объёмы/площади 3D не используются как заказной расход.</x:v>
      </x:c>
      <x:c r="D17" s="61"/>
      <x:c r="E17" s="61"/>
      <x:c r="F17" s="61"/>
      <x:c r="G17" s="61"/>
      <x:c r="H17" s="61"/>
    </x:row>
    <x:row r="18" ht="25" customHeight="1">
      <x:c r="A18" s="63"/>
      <x:c r="B18" s="63"/>
      <x:c r="C18" s="61"/>
      <x:c r="D18" s="61"/>
      <x:c r="E18" s="61"/>
      <x:c r="F18" s="61"/>
      <x:c r="G18" s="61"/>
      <x:c r="H18" s="61"/>
    </x:row>
    <x:row r="19" ht="25" customHeight="1">
      <x:c r="A19" s="36"/>
      <x:c r="B19" s="36"/>
      <x:c r="C19" s="36"/>
      <x:c r="D19" s="36"/>
      <x:c r="E19" s="36"/>
      <x:c r="F19" s="36"/>
      <x:c r="G19" s="36"/>
      <x:c r="H19" s="36"/>
    </x:row>
    <x:row r="20" ht="26" customHeight="1">
      <x:c r="A20" s="63" t="str">
        <x:v>ОБРАМЛЕНИЯ</x:v>
      </x:c>
      <x:c r="B20" s="63"/>
      <x:c r="C20" s="61" t="str">
        <x:v>В 3D показаны 126 уголков из 160 по исходным строкам размещённых МУ. 34 экземпляра не размещены и показаны в реестре. Это не полный комплект КМД.</x:v>
      </x:c>
      <x:c r="D20" s="61"/>
      <x:c r="E20" s="61"/>
      <x:c r="F20" s="61"/>
      <x:c r="G20" s="61"/>
      <x:c r="H20" s="61"/>
    </x:row>
    <x:row r="21" ht="22" customHeight="1">
      <x:c r="A21" s="63"/>
      <x:c r="B21" s="63"/>
      <x:c r="C21" s="61"/>
      <x:c r="D21" s="61"/>
      <x:c r="E21" s="61"/>
      <x:c r="F21" s="61"/>
      <x:c r="G21" s="61"/>
      <x:c r="H21" s="61"/>
    </x:row>
    <x:row r="22" ht="22" customHeight="1">
      <x:c r="A22" s="61"/>
      <x:c r="B22" s="61"/>
      <x:c r="C22" s="61"/>
      <x:c r="D22" s="61"/>
      <x:c r="E22" s="61"/>
      <x:c r="F22" s="61"/>
      <x:c r="G22" s="61"/>
      <x:c r="H22" s="61"/>
    </x:row>
    <x:row r="23" ht="22" customHeight="1">
      <x:c r="A23" s="63" t="str">
        <x:v>ДЕМОНТАЖ</x:v>
      </x:c>
      <x:c r="B23" s="63"/>
      <x:c r="C23" s="61" t="str">
        <x:v>ВОР листов 4/5 содержит весь демонтаж этажей. Цветные зоны 3D показывают только замещение МУ. Для производства работ нужна согласованная схема временного раскрепления и ППР.</x:v>
      </x:c>
      <x:c r="D23" s="61"/>
      <x:c r="E23" s="61"/>
      <x:c r="F23" s="61"/>
      <x:c r="G23" s="61"/>
      <x:c r="H23" s="61"/>
    </x:row>
    <x:row r="24" ht="26" customHeight="1">
      <x:c r="A24" s="63"/>
      <x:c r="B24" s="63"/>
      <x:c r="C24" s="61"/>
      <x:c r="D24" s="61"/>
      <x:c r="E24" s="61"/>
      <x:c r="F24" s="61"/>
      <x:c r="G24" s="61"/>
      <x:c r="H24" s="61"/>
    </x:row>
    <x:row r="26" ht="26" customHeight="1">
      <x:c r="A26" s="63" t="str">
        <x:v>СТАТУС</x:v>
      </x:c>
      <x:c r="B26" s="63"/>
      <x:c r="C26" s="61" t="str">
        <x:v>Размеры со звёздочкой и координаты P2 подлежат проверке на месте. МУ23: подтвердить +4,700/+4,800. МУ31: увязать отверстие. МУ34: подтвердить применяемый лист и его спецификацию.</x:v>
      </x:c>
      <x:c r="D26" s="61"/>
      <x:c r="E26" s="61"/>
      <x:c r="F26" s="61"/>
      <x:c r="G26" s="61"/>
      <x:c r="H26" s="61"/>
    </x:row>
    <x:row r="27" ht="26" customHeight="1">
      <x:c r="A27" s="63"/>
      <x:c r="B27" s="63"/>
      <x:c r="C27" s="61"/>
      <x:c r="D27" s="61"/>
      <x:c r="E27" s="61"/>
      <x:c r="F27" s="61"/>
      <x:c r="G27" s="61"/>
      <x:c r="H27" s="61"/>
    </x:row>
    <x:row r="30" ht="22" customHeight="1">
      <x:c r="A30" s="61" t="str">
        <x:v>Границы свода: монолитные участки МУ по листам 20–21. Плиты МП/ПМ лифтов и лестниц, Л‑1 и кровля в эти количества не включены. Полный арматурный каркас и все обрамления в 3D не заявляются.</x:v>
      </x:c>
      <x:c r="B30" s="61"/>
      <x:c r="C30" s="61"/>
      <x:c r="D30" s="61"/>
      <x:c r="E30" s="61"/>
      <x:c r="F30" s="61"/>
      <x:c r="G30" s="61"/>
      <x:c r="H30" s="61"/>
    </x:row>
    <x:row r="31" ht="22" customHeight="1">
      <x:c r="A31" s="61"/>
      <x:c r="B31" s="61"/>
      <x:c r="C31" s="61"/>
      <x:c r="D31" s="61"/>
      <x:c r="E31" s="61"/>
      <x:c r="F31" s="61"/>
      <x:c r="G31" s="61"/>
      <x:c r="H31" s="61"/>
    </x:row>
    <x:row r="32" ht="22" customHeight="1">
      <x:c r="A32" s="61"/>
      <x:c r="B32" s="61"/>
      <x:c r="C32" s="61"/>
      <x:c r="D32" s="61"/>
      <x:c r="E32" s="61"/>
      <x:c r="F32" s="61"/>
      <x:c r="G32" s="61"/>
      <x:c r="H32" s="61"/>
    </x:row>
  </x:sheetData>
  <x:mergeCells>
    <x:mergeCell ref="A1:H2"/>
    <x:mergeCell ref="A3:H3"/>
    <x:mergeCell ref="A11:B12"/>
    <x:mergeCell ref="C11:H12"/>
    <x:mergeCell ref="A14:B15"/>
    <x:mergeCell ref="C14:H15"/>
    <x:mergeCell ref="A17:B18"/>
    <x:mergeCell ref="C17:H18"/>
    <x:mergeCell ref="A20:B21"/>
    <x:mergeCell ref="C20:H21"/>
    <x:mergeCell ref="A23:B24"/>
    <x:mergeCell ref="C23:H24"/>
    <x:mergeCell ref="A26:B27"/>
    <x:mergeCell ref="C26:H27"/>
    <x:mergeCell ref="A30:H32"/>
  </x:mergeCells>
  <x:pageMargins left="0.7" right="0.7" top="0.75" bottom="0.75" header="0.3" footer="0.3"/>
  <x:tableParts count="1">
    <x:tablePart xmlns:r="http://schemas.openxmlformats.org/officeDocument/2006/relationships" r:id="R6c9e1faf2af348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1" hidden="0" customWidth="1"/>
    <x:col min="6" max="6" width="15" hidden="0" customWidth="1"/>
    <x:col min="7" max="7" width="17" hidden="0" customWidth="1"/>
    <x:col min="8" max="8" width="16" hidden="0" customWidth="1"/>
    <x:col min="9" max="9" width="25" hidden="0" customWidth="1"/>
    <x:col min="10" max="10" width="40" hidden="0" customWidth="1"/>
  </x:cols>
  <x:sheetData>
    <x:row r="1" ht="22" customHeight="1">
      <x:c r="A1" s="95" t="str">
        <x:v>МУ межэтажных перекрытий · R05</x:v>
      </x:c>
      <x:c r="B1" s="95"/>
      <x:c r="C1" s="95"/>
      <x:c r="D1" s="95"/>
      <x:c r="E1" s="95"/>
      <x:c r="F1" s="95"/>
      <x:c r="G1" s="95"/>
      <x:c r="H1" s="95"/>
      <x:c r="I1" s="95"/>
      <x:c r="J1" s="95"/>
    </x:row>
    <x:row r="2" ht="22" customHeight="1">
      <x:c r="A2" s="95"/>
      <x:c r="B2" s="95"/>
      <x:c r="C2" s="95"/>
      <x:c r="D2" s="95"/>
      <x:c r="E2" s="95"/>
      <x:c r="F2" s="95"/>
      <x:c r="G2" s="95"/>
      <x:c r="H2" s="95"/>
      <x:c r="I2" s="95"/>
      <x:c r="J2" s="95"/>
    </x:row>
    <x:row r="3" ht="36" customHeight="1">
      <x:c r="A3" s="10" t="str">
        <x:v>Файл-основание: 01-2024-ИЯИ-АС.2 изм от 03.07.26.pdf. МУ лестницы и кровли в этот подсчёт не входят.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40" customHeight="1">
      <x:c r="A5" s="16" t="str">
        <x:v>ID в модели</x:v>
      </x:c>
      <x:c r="B5" s="16" t="str">
        <x:v>Схема, лист</x:v>
      </x:c>
      <x:c r="C5" s="16" t="str">
        <x:v>Верх, м</x:v>
      </x:c>
      <x:c r="D5" s="16" t="str">
        <x:v>Марка</x:v>
      </x:c>
      <x:c r="E5" s="16" t="str">
        <x:v>Б1, шт.</x:v>
      </x:c>
      <x:c r="F5" s="16" t="str">
        <x:v>Бетон РД, м³</x:v>
      </x:c>
      <x:c r="G5" s="16" t="str">
        <x:v>Профлист РД, м²</x:v>
      </x:c>
      <x:c r="H5" s="16" t="str">
        <x:v>Контуры отверстий, шт.</x:v>
      </x:c>
      <x:c r="I5" s="16" t="str">
        <x:v>Источник</x:v>
      </x:c>
      <x:c r="J5" s="16" t="str">
        <x:v>Статус / ограничение</x:v>
      </x:c>
    </x:row>
    <x:row r="6" ht="44" customHeight="1">
      <x:c r="A6" s="26" t="str">
        <x:v>F2_MU01</x:v>
      </x:c>
      <x:c r="B6" s="26" t="n">
        <x:v>20</x:v>
      </x:c>
      <x:c r="C6" s="28" t="n">
        <x:v>3.5</x:v>
      </x:c>
      <x:c r="D6" s="26" t="str">
        <x:v>МУ 1</x:v>
      </x:c>
      <x:c r="E6" s="26" t="n">
        <x:v>0</x:v>
      </x:c>
      <x:c r="F6" s="32" t="n">
        <x:v>0.32</x:v>
      </x:c>
      <x:c r="G6" s="32" t="n">
        <x:v>0</x:v>
      </x:c>
      <x:c r="H6" s="26" t="n">
        <x:v>0</x:v>
      </x:c>
      <x:c r="I6" s="26" t="str">
        <x:v>Л.20 / л.23; PDF 21/24</x:v>
      </x:c>
      <x:c r="J6" s="26" t="str">
        <x:v>По РД; геометрия P2. Арматура — в спецификации, не полный каркас в 3D.</x:v>
      </x:c>
    </x:row>
    <x:row r="7" ht="44" customHeight="1">
      <x:c r="A7" s="22" t="str">
        <x:v>F2_MU02</x:v>
      </x:c>
      <x:c r="B7" s="22" t="n">
        <x:v>20</x:v>
      </x:c>
      <x:c r="C7" s="29" t="n">
        <x:v>3.5</x:v>
      </x:c>
      <x:c r="D7" s="22" t="str">
        <x:v>МУ 2</x:v>
      </x:c>
      <x:c r="E7" s="22" t="n">
        <x:v>0</x:v>
      </x:c>
      <x:c r="F7" s="33" t="n">
        <x:v>0.51</x:v>
      </x:c>
      <x:c r="G7" s="33" t="n">
        <x:v>0</x:v>
      </x:c>
      <x:c r="H7" s="22" t="n">
        <x:v>0</x:v>
      </x:c>
      <x:c r="I7" s="22" t="str">
        <x:v>Л.20 / л.23; PDF 21/24</x:v>
      </x:c>
      <x:c r="J7" s="22" t="str">
        <x:v>По РД; геометрия P2. Арматура — в спецификации, не полный каркас в 3D.</x:v>
      </x:c>
    </x:row>
    <x:row r="8" ht="44" customHeight="1">
      <x:c r="A8" s="26" t="str">
        <x:v>F2_MU03</x:v>
      </x:c>
      <x:c r="B8" s="26" t="n">
        <x:v>20</x:v>
      </x:c>
      <x:c r="C8" s="28" t="n">
        <x:v>3.5</x:v>
      </x:c>
      <x:c r="D8" s="26" t="str">
        <x:v>МУ 3</x:v>
      </x:c>
      <x:c r="E8" s="26" t="n">
        <x:v>0</x:v>
      </x:c>
      <x:c r="F8" s="32" t="n">
        <x:v>1.03</x:v>
      </x:c>
      <x:c r="G8" s="32" t="n">
        <x:v>0</x:v>
      </x:c>
      <x:c r="H8" s="26" t="n">
        <x:v>0</x:v>
      </x:c>
      <x:c r="I8" s="26" t="str">
        <x:v>Л.20 / л.23; PDF 21/24</x:v>
      </x:c>
      <x:c r="J8" s="26" t="str">
        <x:v>По РД; геометрия P2. Арматура — в спецификации, не полный каркас в 3D.</x:v>
      </x:c>
    </x:row>
    <x:row r="9" ht="44" customHeight="1">
      <x:c r="A9" s="22" t="str">
        <x:v>F2_MU04</x:v>
      </x:c>
      <x:c r="B9" s="22" t="n">
        <x:v>20</x:v>
      </x:c>
      <x:c r="C9" s="29" t="n">
        <x:v>3.5</x:v>
      </x:c>
      <x:c r="D9" s="22" t="str">
        <x:v>МУ 4</x:v>
      </x:c>
      <x:c r="E9" s="22" t="n">
        <x:v>2</x:v>
      </x:c>
      <x:c r="F9" s="33" t="n">
        <x:v>1.1</x:v>
      </x:c>
      <x:c r="G9" s="33" t="n">
        <x:v>6.4</x:v>
      </x:c>
      <x:c r="H9" s="22" t="n">
        <x:v>1</x:v>
      </x:c>
      <x:c r="I9" s="22" t="str">
        <x:v>Л.20 / л.24; PDF 21/25</x:v>
      </x:c>
      <x:c r="J9" s="22" t="str">
        <x:v>По РД; геометрия P2. Арматура — в спецификации, не полный каркас в 3D.</x:v>
      </x:c>
    </x:row>
    <x:row r="10" ht="44" customHeight="1">
      <x:c r="A10" s="26" t="str">
        <x:v>F2_MU05</x:v>
      </x:c>
      <x:c r="B10" s="26" t="n">
        <x:v>20</x:v>
      </x:c>
      <x:c r="C10" s="28" t="n">
        <x:v>3.5</x:v>
      </x:c>
      <x:c r="D10" s="26" t="str">
        <x:v>МУ 5</x:v>
      </x:c>
      <x:c r="E10" s="26" t="n">
        <x:v>2</x:v>
      </x:c>
      <x:c r="F10" s="32" t="n">
        <x:v>1.75</x:v>
      </x:c>
      <x:c r="G10" s="32" t="n">
        <x:v>10.44</x:v>
      </x:c>
      <x:c r="H10" s="26" t="n">
        <x:v>5</x:v>
      </x:c>
      <x:c r="I10" s="26" t="str">
        <x:v>Л.20 / л.24; PDF 21/25</x:v>
      </x:c>
      <x:c r="J10" s="26" t="str">
        <x:v>По РД; геометрия P2. Арматура — в спецификации, не полный каркас в 3D.</x:v>
      </x:c>
    </x:row>
    <x:row r="11" ht="44" customHeight="1">
      <x:c r="A11" s="22" t="str">
        <x:v>F2_MU06</x:v>
      </x:c>
      <x:c r="B11" s="22" t="n">
        <x:v>20</x:v>
      </x:c>
      <x:c r="C11" s="29" t="n">
        <x:v>3.5</x:v>
      </x:c>
      <x:c r="D11" s="22" t="str">
        <x:v>МУ 6</x:v>
      </x:c>
      <x:c r="E11" s="22" t="n">
        <x:v>2</x:v>
      </x:c>
      <x:c r="F11" s="33" t="n">
        <x:v>2.01</x:v>
      </x:c>
      <x:c r="G11" s="33" t="n">
        <x:v>9.54</x:v>
      </x:c>
      <x:c r="H11" s="22" t="n">
        <x:v>1</x:v>
      </x:c>
      <x:c r="I11" s="22" t="str">
        <x:v>Л.20 / л.25; PDF 21/26</x:v>
      </x:c>
      <x:c r="J11" s="22" t="str">
        <x:v>По РД; геометрия P2. Арматура — в спецификации, не полный каркас в 3D.</x:v>
      </x:c>
    </x:row>
    <x:row r="12" ht="44" customHeight="1">
      <x:c r="A12" s="26" t="str">
        <x:v>F2_MU07</x:v>
      </x:c>
      <x:c r="B12" s="26" t="n">
        <x:v>20</x:v>
      </x:c>
      <x:c r="C12" s="28" t="n">
        <x:v>3.5</x:v>
      </x:c>
      <x:c r="D12" s="26" t="str">
        <x:v>МУ 7</x:v>
      </x:c>
      <x:c r="E12" s="26" t="n">
        <x:v>2</x:v>
      </x:c>
      <x:c r="F12" s="32" t="n">
        <x:v>2.14</x:v>
      </x:c>
      <x:c r="G12" s="32" t="n">
        <x:v>10.16</x:v>
      </x:c>
      <x:c r="H12" s="26" t="n">
        <x:v>2</x:v>
      </x:c>
      <x:c r="I12" s="26" t="str">
        <x:v>Л.20 / л.25; PDF 21/26</x:v>
      </x:c>
      <x:c r="J12" s="26" t="str">
        <x:v>По РД; геометрия P2. Арматура — в спецификации, не полный каркас в 3D.</x:v>
      </x:c>
    </x:row>
    <x:row r="13" ht="44" customHeight="1">
      <x:c r="A13" s="22" t="str">
        <x:v>F2_MU08</x:v>
      </x:c>
      <x:c r="B13" s="22" t="n">
        <x:v>20</x:v>
      </x:c>
      <x:c r="C13" s="29" t="n">
        <x:v>3.5</x:v>
      </x:c>
      <x:c r="D13" s="22" t="str">
        <x:v>МУ 8</x:v>
      </x:c>
      <x:c r="E13" s="22" t="n">
        <x:v>0</x:v>
      </x:c>
      <x:c r="F13" s="33" t="n">
        <x:v>0.31</x:v>
      </x:c>
      <x:c r="G13" s="33" t="n">
        <x:v>0</x:v>
      </x:c>
      <x:c r="H13" s="22" t="n">
        <x:v>1</x:v>
      </x:c>
      <x:c r="I13" s="22" t="str">
        <x:v>Л.20 / л.26; PDF 21/27</x:v>
      </x:c>
      <x:c r="J13" s="22" t="str">
        <x:v>По РД; геометрия P2. Арматура — в спецификации, не полный каркас в 3D.</x:v>
      </x:c>
    </x:row>
    <x:row r="14" ht="44" customHeight="1">
      <x:c r="A14" s="26" t="str">
        <x:v>F2_MU09</x:v>
      </x:c>
      <x:c r="B14" s="26" t="n">
        <x:v>20</x:v>
      </x:c>
      <x:c r="C14" s="28" t="n">
        <x:v>3.5</x:v>
      </x:c>
      <x:c r="D14" s="26" t="str">
        <x:v>МУ 9</x:v>
      </x:c>
      <x:c r="E14" s="26" t="n">
        <x:v>2</x:v>
      </x:c>
      <x:c r="F14" s="32" t="n">
        <x:v>1.75</x:v>
      </x:c>
      <x:c r="G14" s="32" t="n">
        <x:v>10.44</x:v>
      </x:c>
      <x:c r="H14" s="26" t="n">
        <x:v>1</x:v>
      </x:c>
      <x:c r="I14" s="26" t="str">
        <x:v>Л.20 / л.26; PDF 21/27</x:v>
      </x:c>
      <x:c r="J14" s="26" t="str">
        <x:v>По РД; геометрия P2. Арматура — в спецификации, не полный каркас в 3D.</x:v>
      </x:c>
    </x:row>
    <x:row r="15" ht="44" customHeight="1">
      <x:c r="A15" s="22" t="str">
        <x:v>F2_MU10</x:v>
      </x:c>
      <x:c r="B15" s="22" t="n">
        <x:v>20</x:v>
      </x:c>
      <x:c r="C15" s="29" t="n">
        <x:v>3.5</x:v>
      </x:c>
      <x:c r="D15" s="22" t="str">
        <x:v>МУ 10</x:v>
      </x:c>
      <x:c r="E15" s="22" t="n">
        <x:v>2</x:v>
      </x:c>
      <x:c r="F15" s="33" t="n">
        <x:v>1.75</x:v>
      </x:c>
      <x:c r="G15" s="33" t="n">
        <x:v>10.44</x:v>
      </x:c>
      <x:c r="H15" s="22" t="n">
        <x:v>0</x:v>
      </x:c>
      <x:c r="I15" s="22" t="str">
        <x:v>Л.20 / л.26; PDF 21/27</x:v>
      </x:c>
      <x:c r="J15" s="22" t="str">
        <x:v>По РД; геометрия P2. Арматура — в спецификации, не полный каркас в 3D.</x:v>
      </x:c>
    </x:row>
    <x:row r="16" ht="44" customHeight="1">
      <x:c r="A16" s="26" t="str">
        <x:v>F2_MU11</x:v>
      </x:c>
      <x:c r="B16" s="26" t="n">
        <x:v>20</x:v>
      </x:c>
      <x:c r="C16" s="28" t="n">
        <x:v>3.5</x:v>
      </x:c>
      <x:c r="D16" s="26" t="str">
        <x:v>МУ 11</x:v>
      </x:c>
      <x:c r="E16" s="26" t="n">
        <x:v>2</x:v>
      </x:c>
      <x:c r="F16" s="32" t="n">
        <x:v>1.1</x:v>
      </x:c>
      <x:c r="G16" s="32" t="n">
        <x:v>6.67</x:v>
      </x:c>
      <x:c r="H16" s="26" t="n">
        <x:v>6</x:v>
      </x:c>
      <x:c r="I16" s="26" t="str">
        <x:v>Л.20 / л.27; PDF 21/28</x:v>
      </x:c>
      <x:c r="J16" s="26" t="str">
        <x:v>По РД; геометрия P2. Арматура — в спецификации, не полный каркас в 3D.</x:v>
      </x:c>
    </x:row>
    <x:row r="17" ht="44" customHeight="1">
      <x:c r="A17" s="22" t="str">
        <x:v>F2_MU12</x:v>
      </x:c>
      <x:c r="B17" s="22" t="n">
        <x:v>20</x:v>
      </x:c>
      <x:c r="C17" s="29" t="n">
        <x:v>3.5</x:v>
      </x:c>
      <x:c r="D17" s="22" t="str">
        <x:v>МУ 12</x:v>
      </x:c>
      <x:c r="E17" s="22" t="n">
        <x:v>2</x:v>
      </x:c>
      <x:c r="F17" s="33" t="n">
        <x:v>1.75</x:v>
      </x:c>
      <x:c r="G17" s="33" t="n">
        <x:v>9.37</x:v>
      </x:c>
      <x:c r="H17" s="22" t="n">
        <x:v>4</x:v>
      </x:c>
      <x:c r="I17" s="22" t="str">
        <x:v>Л.20 / л.27; PDF 21/28</x:v>
      </x:c>
      <x:c r="J17" s="22" t="str">
        <x:v>По РД; геометрия P2. Арматура — в спецификации, не полный каркас в 3D.</x:v>
      </x:c>
    </x:row>
    <x:row r="18" ht="44" customHeight="1">
      <x:c r="A18" s="26" t="str">
        <x:v>F2_MU13</x:v>
      </x:c>
      <x:c r="B18" s="26" t="n">
        <x:v>20</x:v>
      </x:c>
      <x:c r="C18" s="28" t="n">
        <x:v>3.5</x:v>
      </x:c>
      <x:c r="D18" s="26" t="str">
        <x:v>МУ 13</x:v>
      </x:c>
      <x:c r="E18" s="26" t="n">
        <x:v>2</x:v>
      </x:c>
      <x:c r="F18" s="32" t="n">
        <x:v>1.75</x:v>
      </x:c>
      <x:c r="G18" s="32" t="n">
        <x:v>10.44</x:v>
      </x:c>
      <x:c r="H18" s="26" t="n">
        <x:v>2</x:v>
      </x:c>
      <x:c r="I18" s="26" t="str">
        <x:v>Л.20 / л.28; PDF 21/29</x:v>
      </x:c>
      <x:c r="J18" s="26" t="str">
        <x:v>По РД; геометрия P2. Арматура — в спецификации, не полный каркас в 3D.</x:v>
      </x:c>
    </x:row>
    <x:row r="19" ht="44" customHeight="1">
      <x:c r="A19" s="22" t="str">
        <x:v>F2_MU14</x:v>
      </x:c>
      <x:c r="B19" s="22" t="n">
        <x:v>20</x:v>
      </x:c>
      <x:c r="C19" s="29" t="n">
        <x:v>3.5</x:v>
      </x:c>
      <x:c r="D19" s="22" t="str">
        <x:v>МУ 14</x:v>
      </x:c>
      <x:c r="E19" s="22" t="n">
        <x:v>2</x:v>
      </x:c>
      <x:c r="F19" s="33" t="n">
        <x:v>1.75</x:v>
      </x:c>
      <x:c r="G19" s="33" t="n">
        <x:v>10.44</x:v>
      </x:c>
      <x:c r="H19" s="22" t="n">
        <x:v>2</x:v>
      </x:c>
      <x:c r="I19" s="22" t="str">
        <x:v>Л.20 / л.28; PDF 21/29</x:v>
      </x:c>
      <x:c r="J19" s="22" t="str">
        <x:v>По РД; геометрия P2. Арматура — в спецификации, не полный каркас в 3D.</x:v>
      </x:c>
    </x:row>
    <x:row r="20" ht="44" customHeight="1">
      <x:c r="A20" s="26" t="str">
        <x:v>F2_MU15</x:v>
      </x:c>
      <x:c r="B20" s="26" t="n">
        <x:v>20</x:v>
      </x:c>
      <x:c r="C20" s="28" t="n">
        <x:v>3.5</x:v>
      </x:c>
      <x:c r="D20" s="26" t="str">
        <x:v>МУ 15</x:v>
      </x:c>
      <x:c r="E20" s="26" t="n">
        <x:v>0</x:v>
      </x:c>
      <x:c r="F20" s="32" t="n">
        <x:v>1.1</x:v>
      </x:c>
      <x:c r="G20" s="32" t="n">
        <x:v>0</x:v>
      </x:c>
      <x:c r="H20" s="26" t="n">
        <x:v>0</x:v>
      </x:c>
      <x:c r="I20" s="26" t="str">
        <x:v>Л.20 / л.23; PDF 21/24</x:v>
      </x:c>
      <x:c r="J20" s="26" t="str">
        <x:v>По РД; геометрия P2. Арматура — в спецификации, не полный каркас в 3D.</x:v>
      </x:c>
    </x:row>
    <x:row r="21" ht="44" customHeight="1">
      <x:c r="A21" s="22" t="str">
        <x:v>F2_MU16</x:v>
      </x:c>
      <x:c r="B21" s="22" t="n">
        <x:v>20</x:v>
      </x:c>
      <x:c r="C21" s="29" t="n">
        <x:v>3.5</x:v>
      </x:c>
      <x:c r="D21" s="22" t="str">
        <x:v>МУ 16</x:v>
      </x:c>
      <x:c r="E21" s="22" t="n">
        <x:v>2</x:v>
      </x:c>
      <x:c r="F21" s="33" t="n">
        <x:v>1.75</x:v>
      </x:c>
      <x:c r="G21" s="33" t="n">
        <x:v>10.34</x:v>
      </x:c>
      <x:c r="H21" s="22" t="n">
        <x:v>2</x:v>
      </x:c>
      <x:c r="I21" s="22" t="str">
        <x:v>Л.20 / л.29; PDF 21/30</x:v>
      </x:c>
      <x:c r="J21" s="22" t="str">
        <x:v>По РД; геометрия P2. Арматура — в спецификации, не полный каркас в 3D.</x:v>
      </x:c>
    </x:row>
    <x:row r="22" ht="44" customHeight="1">
      <x:c r="A22" s="26" t="str">
        <x:v>F2_MU17</x:v>
      </x:c>
      <x:c r="B22" s="26" t="n">
        <x:v>20</x:v>
      </x:c>
      <x:c r="C22" s="28" t="n">
        <x:v>3.5</x:v>
      </x:c>
      <x:c r="D22" s="26" t="str">
        <x:v>МУ 17</x:v>
      </x:c>
      <x:c r="E22" s="26" t="n">
        <x:v>2</x:v>
      </x:c>
      <x:c r="F22" s="32" t="n">
        <x:v>1.75</x:v>
      </x:c>
      <x:c r="G22" s="32" t="n">
        <x:v>9.11</x:v>
      </x:c>
      <x:c r="H22" s="26" t="n">
        <x:v>4</x:v>
      </x:c>
      <x:c r="I22" s="26" t="str">
        <x:v>Л.20 / л.29; PDF 21/30</x:v>
      </x:c>
      <x:c r="J22" s="26" t="str">
        <x:v>По РД; геометрия P2. Арматура — в спецификации, не полный каркас в 3D.</x:v>
      </x:c>
    </x:row>
    <x:row r="23" ht="44" customHeight="1">
      <x:c r="A23" s="22" t="str">
        <x:v>F2_MU18</x:v>
      </x:c>
      <x:c r="B23" s="22" t="n">
        <x:v>20</x:v>
      </x:c>
      <x:c r="C23" s="29" t="n">
        <x:v>3.5</x:v>
      </x:c>
      <x:c r="D23" s="22" t="str">
        <x:v>МУ 18</x:v>
      </x:c>
      <x:c r="E23" s="22" t="n">
        <x:v>2</x:v>
      </x:c>
      <x:c r="F23" s="33" t="n">
        <x:v>1.75</x:v>
      </x:c>
      <x:c r="G23" s="33" t="n">
        <x:v>8.83</x:v>
      </x:c>
      <x:c r="H23" s="22" t="n">
        <x:v>2</x:v>
      </x:c>
      <x:c r="I23" s="22" t="str">
        <x:v>Л.20 / л.28; PDF 21/29</x:v>
      </x:c>
      <x:c r="J23" s="22" t="str">
        <x:v>По РД; геометрия P2. Арматура — в спецификации, не полный каркас в 3D.</x:v>
      </x:c>
    </x:row>
    <x:row r="24" ht="44" customHeight="1">
      <x:c r="A24" s="26" t="str">
        <x:v>F2_MU19</x:v>
      </x:c>
      <x:c r="B24" s="26" t="n">
        <x:v>20</x:v>
      </x:c>
      <x:c r="C24" s="28" t="n">
        <x:v>3.5</x:v>
      </x:c>
      <x:c r="D24" s="26" t="str">
        <x:v>МУ 19</x:v>
      </x:c>
      <x:c r="E24" s="26" t="n">
        <x:v>2</x:v>
      </x:c>
      <x:c r="F24" s="32" t="n">
        <x:v>1.75</x:v>
      </x:c>
      <x:c r="G24" s="32" t="n">
        <x:v>9.29</x:v>
      </x:c>
      <x:c r="H24" s="26" t="n">
        <x:v>5</x:v>
      </x:c>
      <x:c r="I24" s="26" t="str">
        <x:v>Л.20 / л.30; PDF 21/31</x:v>
      </x:c>
      <x:c r="J24" s="26" t="str">
        <x:v>По РД; геометрия P2. Арматура — в спецификации, не полный каркас в 3D.</x:v>
      </x:c>
    </x:row>
    <x:row r="25" ht="44" customHeight="1">
      <x:c r="A25" s="22" t="str">
        <x:v>F2_MU20</x:v>
      </x:c>
      <x:c r="B25" s="22" t="n">
        <x:v>20</x:v>
      </x:c>
      <x:c r="C25" s="29" t="n">
        <x:v>3.5</x:v>
      </x:c>
      <x:c r="D25" s="22" t="str">
        <x:v>МУ 20</x:v>
      </x:c>
      <x:c r="E25" s="22" t="n">
        <x:v>2</x:v>
      </x:c>
      <x:c r="F25" s="33" t="n">
        <x:v>1.75</x:v>
      </x:c>
      <x:c r="G25" s="33" t="n">
        <x:v>9.65</x:v>
      </x:c>
      <x:c r="H25" s="22" t="n">
        <x:v>4</x:v>
      </x:c>
      <x:c r="I25" s="22" t="str">
        <x:v>Л.20 / л.30; PDF 21/31</x:v>
      </x:c>
      <x:c r="J25" s="22" t="str">
        <x:v>По РД; геометрия P2. Арматура — в спецификации, не полный каркас в 3D.</x:v>
      </x:c>
    </x:row>
    <x:row r="26" ht="44" customHeight="1">
      <x:c r="A26" s="26" t="str">
        <x:v>F2_MU21</x:v>
      </x:c>
      <x:c r="B26" s="26" t="n">
        <x:v>20</x:v>
      </x:c>
      <x:c r="C26" s="28" t="n">
        <x:v>3.5</x:v>
      </x:c>
      <x:c r="D26" s="26" t="str">
        <x:v>МУ 21</x:v>
      </x:c>
      <x:c r="E26" s="26" t="n">
        <x:v>2</x:v>
      </x:c>
      <x:c r="F26" s="32" t="n">
        <x:v>1.75</x:v>
      </x:c>
      <x:c r="G26" s="32" t="n">
        <x:v>10.34</x:v>
      </x:c>
      <x:c r="H26" s="26" t="n">
        <x:v>2</x:v>
      </x:c>
      <x:c r="I26" s="26" t="str">
        <x:v>Л.20 / л.31; PDF 21/32</x:v>
      </x:c>
      <x:c r="J26" s="26" t="str">
        <x:v>По РД; геометрия P2. Арматура — в спецификации, не полный каркас в 3D.</x:v>
      </x:c>
    </x:row>
    <x:row r="27" ht="44" customHeight="1">
      <x:c r="A27" s="22" t="str">
        <x:v>F2_MU22</x:v>
      </x:c>
      <x:c r="B27" s="22" t="n">
        <x:v>20</x:v>
      </x:c>
      <x:c r="C27" s="29" t="n">
        <x:v>3.5</x:v>
      </x:c>
      <x:c r="D27" s="22" t="str">
        <x:v>МУ 22</x:v>
      </x:c>
      <x:c r="E27" s="22" t="n">
        <x:v>0</x:v>
      </x:c>
      <x:c r="F27" s="33" t="n">
        <x:v>0.64</x:v>
      </x:c>
      <x:c r="G27" s="33" t="n">
        <x:v>0</x:v>
      </x:c>
      <x:c r="H27" s="22" t="n">
        <x:v>1</x:v>
      </x:c>
      <x:c r="I27" s="22" t="str">
        <x:v>Л.20 / л.31; PDF 21/32</x:v>
      </x:c>
      <x:c r="J27" s="22" t="str">
        <x:v>По РД; геометрия P2. Арматура — в спецификации, не полный каркас в 3D.</x:v>
      </x:c>
    </x:row>
    <x:row r="28" ht="44" customHeight="1">
      <x:c r="A28" s="26" t="str">
        <x:v>F2_MU23</x:v>
      </x:c>
      <x:c r="B28" s="26" t="n">
        <x:v>20</x:v>
      </x:c>
      <x:c r="C28" s="28" t="n">
        <x:v>4.7</x:v>
      </x:c>
      <x:c r="D28" s="26" t="str">
        <x:v>МУ 23</x:v>
      </x:c>
      <x:c r="E28" s="26" t="n">
        <x:v>2</x:v>
      </x:c>
      <x:c r="F28" s="32" t="n">
        <x:v>1.75</x:v>
      </x:c>
      <x:c r="G28" s="32" t="n">
        <x:v>10</x:v>
      </x:c>
      <x:c r="H28" s="26" t="n">
        <x:v>1</x:v>
      </x:c>
      <x:c r="I28" s="26" t="str">
        <x:v>Л.20 / л.32; PDF 21/33</x:v>
      </x:c>
      <x:c r="J28" s="26" t="str">
        <x:v>Западный повышенный участок: +4,700 по зонам л.4/8. На л.20 в соседних пролётах также +4,800; отметку МУ23 подтвердить. RFI-05.</x:v>
      </x:c>
    </x:row>
    <x:row r="29" ht="44" customHeight="1">
      <x:c r="A29" s="22" t="str">
        <x:v>F3_MU01</x:v>
      </x:c>
      <x:c r="B29" s="22" t="n">
        <x:v>21</x:v>
      </x:c>
      <x:c r="C29" s="29" t="n">
        <x:v>7.1</x:v>
      </x:c>
      <x:c r="D29" s="22" t="str">
        <x:v>МУ 1</x:v>
      </x:c>
      <x:c r="E29" s="22" t="n">
        <x:v>0</x:v>
      </x:c>
      <x:c r="F29" s="33" t="n">
        <x:v>0.32</x:v>
      </x:c>
      <x:c r="G29" s="33" t="n">
        <x:v>0</x:v>
      </x:c>
      <x:c r="H29" s="22" t="n">
        <x:v>0</x:v>
      </x:c>
      <x:c r="I29" s="22" t="str">
        <x:v>Л.21 / л.23; PDF 22/24</x:v>
      </x:c>
      <x:c r="J29" s="22" t="str">
        <x:v>По РД; геометрия P2. Арматура — в спецификации, не полный каркас в 3D.</x:v>
      </x:c>
    </x:row>
    <x:row r="30" ht="44" customHeight="1">
      <x:c r="A30" s="26" t="str">
        <x:v>F3_MU02</x:v>
      </x:c>
      <x:c r="B30" s="26" t="n">
        <x:v>21</x:v>
      </x:c>
      <x:c r="C30" s="28" t="n">
        <x:v>7.1</x:v>
      </x:c>
      <x:c r="D30" s="26" t="str">
        <x:v>МУ 2</x:v>
      </x:c>
      <x:c r="E30" s="26" t="n">
        <x:v>0</x:v>
      </x:c>
      <x:c r="F30" s="32" t="n">
        <x:v>0.51</x:v>
      </x:c>
      <x:c r="G30" s="32" t="n">
        <x:v>0</x:v>
      </x:c>
      <x:c r="H30" s="26" t="n">
        <x:v>0</x:v>
      </x:c>
      <x:c r="I30" s="26" t="str">
        <x:v>Л.21 / л.23; PDF 22/24</x:v>
      </x:c>
      <x:c r="J30" s="26" t="str">
        <x:v>По РД; геометрия P2. Арматура — в спецификации, не полный каркас в 3D.</x:v>
      </x:c>
    </x:row>
    <x:row r="31" ht="44" customHeight="1">
      <x:c r="A31" s="22" t="str">
        <x:v>F3_MU03</x:v>
      </x:c>
      <x:c r="B31" s="22" t="n">
        <x:v>21</x:v>
      </x:c>
      <x:c r="C31" s="29" t="n">
        <x:v>7.1</x:v>
      </x:c>
      <x:c r="D31" s="22" t="str">
        <x:v>МУ 3</x:v>
      </x:c>
      <x:c r="E31" s="22" t="n">
        <x:v>0</x:v>
      </x:c>
      <x:c r="F31" s="33" t="n">
        <x:v>1.03</x:v>
      </x:c>
      <x:c r="G31" s="33" t="n">
        <x:v>0</x:v>
      </x:c>
      <x:c r="H31" s="22" t="n">
        <x:v>0</x:v>
      </x:c>
      <x:c r="I31" s="22" t="str">
        <x:v>Л.21 / л.23; PDF 22/24</x:v>
      </x:c>
      <x:c r="J31" s="22" t="str">
        <x:v>По РД; геометрия P2. Арматура — в спецификации, не полный каркас в 3D.</x:v>
      </x:c>
    </x:row>
    <x:row r="32" ht="44" customHeight="1">
      <x:c r="A32" s="26" t="str">
        <x:v>F3_MU04</x:v>
      </x:c>
      <x:c r="B32" s="26" t="n">
        <x:v>21</x:v>
      </x:c>
      <x:c r="C32" s="28" t="n">
        <x:v>7.1</x:v>
      </x:c>
      <x:c r="D32" s="26" t="str">
        <x:v>МУ 4</x:v>
      </x:c>
      <x:c r="E32" s="26" t="n">
        <x:v>2</x:v>
      </x:c>
      <x:c r="F32" s="32" t="n">
        <x:v>1.1</x:v>
      </x:c>
      <x:c r="G32" s="32" t="n">
        <x:v>6.4</x:v>
      </x:c>
      <x:c r="H32" s="26" t="n">
        <x:v>1</x:v>
      </x:c>
      <x:c r="I32" s="26" t="str">
        <x:v>Л.21 / л.24; PDF 22/25</x:v>
      </x:c>
      <x:c r="J32" s="26" t="str">
        <x:v>По РД; геометрия P2. Арматура — в спецификации, не полный каркас в 3D.</x:v>
      </x:c>
    </x:row>
    <x:row r="33" ht="44" customHeight="1">
      <x:c r="A33" s="22" t="str">
        <x:v>F3_MU24</x:v>
      </x:c>
      <x:c r="B33" s="22" t="n">
        <x:v>21</x:v>
      </x:c>
      <x:c r="C33" s="29" t="n">
        <x:v>7.1</x:v>
      </x:c>
      <x:c r="D33" s="22" t="str">
        <x:v>МУ 24</x:v>
      </x:c>
      <x:c r="E33" s="22" t="n">
        <x:v>2</x:v>
      </x:c>
      <x:c r="F33" s="33" t="n">
        <x:v>1.75</x:v>
      </x:c>
      <x:c r="G33" s="33" t="n">
        <x:v>9</x:v>
      </x:c>
      <x:c r="H33" s="22" t="n">
        <x:v>1</x:v>
      </x:c>
      <x:c r="I33" s="22" t="str">
        <x:v>Л.21 / л.32; PDF 22/33</x:v>
      </x:c>
      <x:c r="J33" s="22" t="str">
        <x:v>По РД; геометрия P2. Арматура — в спецификации, не полный каркас в 3D.</x:v>
      </x:c>
    </x:row>
    <x:row r="34" ht="44" customHeight="1">
      <x:c r="A34" s="26" t="str">
        <x:v>F3_MU25</x:v>
      </x:c>
      <x:c r="B34" s="26" t="n">
        <x:v>21</x:v>
      </x:c>
      <x:c r="C34" s="28" t="n">
        <x:v>7.1</x:v>
      </x:c>
      <x:c r="D34" s="26" t="str">
        <x:v>МУ 25</x:v>
      </x:c>
      <x:c r="E34" s="26" t="n">
        <x:v>2</x:v>
      </x:c>
      <x:c r="F34" s="32" t="n">
        <x:v>1.75</x:v>
      </x:c>
      <x:c r="G34" s="32" t="n">
        <x:v>8.92</x:v>
      </x:c>
      <x:c r="H34" s="26" t="n">
        <x:v>5</x:v>
      </x:c>
      <x:c r="I34" s="26" t="str">
        <x:v>Л.21 / л.33; PDF 22/34</x:v>
      </x:c>
      <x:c r="J34" s="26" t="str">
        <x:v>По РД; геометрия P2. Арматура — в спецификации, не полный каркас в 3D.</x:v>
      </x:c>
    </x:row>
    <x:row r="35" ht="44" customHeight="1">
      <x:c r="A35" s="22" t="str">
        <x:v>F3_MU06</x:v>
      </x:c>
      <x:c r="B35" s="22" t="n">
        <x:v>21</x:v>
      </x:c>
      <x:c r="C35" s="29" t="n">
        <x:v>7.1</x:v>
      </x:c>
      <x:c r="D35" s="22" t="str">
        <x:v>МУ 6</x:v>
      </x:c>
      <x:c r="E35" s="22" t="n">
        <x:v>2</x:v>
      </x:c>
      <x:c r="F35" s="33" t="n">
        <x:v>2.01</x:v>
      </x:c>
      <x:c r="G35" s="33" t="n">
        <x:v>9.54</x:v>
      </x:c>
      <x:c r="H35" s="22" t="n">
        <x:v>3</x:v>
      </x:c>
      <x:c r="I35" s="22" t="str">
        <x:v>Л.21 / л.25; PDF 22/26</x:v>
      </x:c>
      <x:c r="J35" s="22" t="str">
        <x:v>По РД; геометрия P2. Арматура — в спецификации, не полный каркас в 3D.</x:v>
      </x:c>
    </x:row>
    <x:row r="36" ht="44" customHeight="1">
      <x:c r="A36" s="26" t="str">
        <x:v>F3_MU07</x:v>
      </x:c>
      <x:c r="B36" s="26" t="n">
        <x:v>21</x:v>
      </x:c>
      <x:c r="C36" s="28" t="n">
        <x:v>7.1</x:v>
      </x:c>
      <x:c r="D36" s="26" t="str">
        <x:v>МУ 7</x:v>
      </x:c>
      <x:c r="E36" s="26" t="n">
        <x:v>2</x:v>
      </x:c>
      <x:c r="F36" s="32" t="n">
        <x:v>2.14</x:v>
      </x:c>
      <x:c r="G36" s="32" t="n">
        <x:v>10.16</x:v>
      </x:c>
      <x:c r="H36" s="26" t="n">
        <x:v>1</x:v>
      </x:c>
      <x:c r="I36" s="26" t="str">
        <x:v>Л.21 / л.25; PDF 22/26</x:v>
      </x:c>
      <x:c r="J36" s="26" t="str">
        <x:v>По РД; геометрия P2. Арматура — в спецификации, не полный каркас в 3D.</x:v>
      </x:c>
    </x:row>
    <x:row r="37" ht="44" customHeight="1">
      <x:c r="A37" s="22" t="str">
        <x:v>F3_MU26</x:v>
      </x:c>
      <x:c r="B37" s="22" t="n">
        <x:v>21</x:v>
      </x:c>
      <x:c r="C37" s="29" t="n">
        <x:v>7.1</x:v>
      </x:c>
      <x:c r="D37" s="22" t="str">
        <x:v>МУ 26</x:v>
      </x:c>
      <x:c r="E37" s="22" t="n">
        <x:v>0</x:v>
      </x:c>
      <x:c r="F37" s="33" t="n">
        <x:v>0.31</x:v>
      </x:c>
      <x:c r="G37" s="33" t="n">
        <x:v>0</x:v>
      </x:c>
      <x:c r="H37" s="22" t="n">
        <x:v>1</x:v>
      </x:c>
      <x:c r="I37" s="22" t="str">
        <x:v>Л.21 / л.26; PDF 22/27</x:v>
      </x:c>
      <x:c r="J37" s="22" t="str">
        <x:v>По РД; геометрия P2. Арматура — в спецификации, не полный каркас в 3D.</x:v>
      </x:c>
    </x:row>
    <x:row r="38" ht="44" customHeight="1">
      <x:c r="A38" s="26" t="str">
        <x:v>F3_MU10a</x:v>
      </x:c>
      <x:c r="B38" s="26" t="n">
        <x:v>21</x:v>
      </x:c>
      <x:c r="C38" s="28" t="n">
        <x:v>7.1</x:v>
      </x:c>
      <x:c r="D38" s="26" t="str">
        <x:v>МУ 10</x:v>
      </x:c>
      <x:c r="E38" s="26" t="n">
        <x:v>2</x:v>
      </x:c>
      <x:c r="F38" s="32" t="n">
        <x:v>1.75</x:v>
      </x:c>
      <x:c r="G38" s="32" t="n">
        <x:v>10.44</x:v>
      </x:c>
      <x:c r="H38" s="26" t="n">
        <x:v>0</x:v>
      </x:c>
      <x:c r="I38" s="26" t="str">
        <x:v>Л.21 / л.26; PDF 22/27</x:v>
      </x:c>
      <x:c r="J38" s="26" t="str">
        <x:v>По РД; геометрия P2. Арматура — в спецификации, не полный каркас в 3D.</x:v>
      </x:c>
    </x:row>
    <x:row r="39" ht="44" customHeight="1">
      <x:c r="A39" s="22" t="str">
        <x:v>F3_MU10b</x:v>
      </x:c>
      <x:c r="B39" s="22" t="n">
        <x:v>21</x:v>
      </x:c>
      <x:c r="C39" s="29" t="n">
        <x:v>7.1</x:v>
      </x:c>
      <x:c r="D39" s="22" t="str">
        <x:v>МУ 10</x:v>
      </x:c>
      <x:c r="E39" s="22" t="n">
        <x:v>2</x:v>
      </x:c>
      <x:c r="F39" s="33" t="n">
        <x:v>1.75</x:v>
      </x:c>
      <x:c r="G39" s="33" t="n">
        <x:v>10.44</x:v>
      </x:c>
      <x:c r="H39" s="22" t="n">
        <x:v>0</x:v>
      </x:c>
      <x:c r="I39" s="22" t="str">
        <x:v>Л.21 / л.26; PDF 22/27</x:v>
      </x:c>
      <x:c r="J39" s="22" t="str">
        <x:v>По РД; геометрия P2. Арматура — в спецификации, не полный каркас в 3D.</x:v>
      </x:c>
    </x:row>
    <x:row r="40" ht="44" customHeight="1">
      <x:c r="A40" s="26" t="str">
        <x:v>F3_MU27</x:v>
      </x:c>
      <x:c r="B40" s="26" t="n">
        <x:v>21</x:v>
      </x:c>
      <x:c r="C40" s="28" t="n">
        <x:v>7.1</x:v>
      </x:c>
      <x:c r="D40" s="26" t="str">
        <x:v>МУ 27</x:v>
      </x:c>
      <x:c r="E40" s="26" t="n">
        <x:v>0</x:v>
      </x:c>
      <x:c r="F40" s="32" t="n">
        <x:v>0.17</x:v>
      </x:c>
      <x:c r="G40" s="32" t="n">
        <x:v>0</x:v>
      </x:c>
      <x:c r="H40" s="26" t="n">
        <x:v>0</x:v>
      </x:c>
      <x:c r="I40" s="26" t="str">
        <x:v>Л.21 / л.33; PDF 22/34</x:v>
      </x:c>
      <x:c r="J40" s="26" t="str">
        <x:v>По РД; геометрия P2. Арматура — в спецификации, не полный каркас в 3D.</x:v>
      </x:c>
    </x:row>
    <x:row r="41" ht="44" customHeight="1">
      <x:c r="A41" s="22" t="str">
        <x:v>F3_MU28</x:v>
      </x:c>
      <x:c r="B41" s="22" t="n">
        <x:v>21</x:v>
      </x:c>
      <x:c r="C41" s="29" t="n">
        <x:v>7.1</x:v>
      </x:c>
      <x:c r="D41" s="22" t="str">
        <x:v>МУ 28</x:v>
      </x:c>
      <x:c r="E41" s="22" t="n">
        <x:v>2</x:v>
      </x:c>
      <x:c r="F41" s="33" t="n">
        <x:v>1.75</x:v>
      </x:c>
      <x:c r="G41" s="33" t="n">
        <x:v>9.66</x:v>
      </x:c>
      <x:c r="H41" s="22" t="n">
        <x:v>6</x:v>
      </x:c>
      <x:c r="I41" s="22" t="str">
        <x:v>Л.21 / л.34; PDF 22/35</x:v>
      </x:c>
      <x:c r="J41" s="22" t="str">
        <x:v>По РД; геометрия P2. Арматура — в спецификации, не полный каркас в 3D.</x:v>
      </x:c>
    </x:row>
    <x:row r="42" ht="44" customHeight="1">
      <x:c r="A42" s="26" t="str">
        <x:v>F3_MU29</x:v>
      </x:c>
      <x:c r="B42" s="26" t="n">
        <x:v>21</x:v>
      </x:c>
      <x:c r="C42" s="28" t="n">
        <x:v>7.1</x:v>
      </x:c>
      <x:c r="D42" s="26" t="str">
        <x:v>МУ 29</x:v>
      </x:c>
      <x:c r="E42" s="26" t="n">
        <x:v>2</x:v>
      </x:c>
      <x:c r="F42" s="32" t="n">
        <x:v>1.75</x:v>
      </x:c>
      <x:c r="G42" s="32" t="n">
        <x:v>8.92</x:v>
      </x:c>
      <x:c r="H42" s="26" t="n">
        <x:v>3</x:v>
      </x:c>
      <x:c r="I42" s="26" t="str">
        <x:v>Л.21 / л.34; PDF 22/35</x:v>
      </x:c>
      <x:c r="J42" s="26" t="str">
        <x:v>По РД; геометрия P2. Арматура — в спецификации, не полный каркас в 3D.</x:v>
      </x:c>
    </x:row>
    <x:row r="43" ht="44" customHeight="1">
      <x:c r="A43" s="22" t="str">
        <x:v>F3_MU30</x:v>
      </x:c>
      <x:c r="B43" s="22" t="n">
        <x:v>21</x:v>
      </x:c>
      <x:c r="C43" s="29" t="n">
        <x:v>7.1</x:v>
      </x:c>
      <x:c r="D43" s="22" t="str">
        <x:v>МУ 30</x:v>
      </x:c>
      <x:c r="E43" s="22" t="n">
        <x:v>2</x:v>
      </x:c>
      <x:c r="F43" s="33" t="n">
        <x:v>1.75</x:v>
      </x:c>
      <x:c r="G43" s="33" t="n">
        <x:v>10.1</x:v>
      </x:c>
      <x:c r="H43" s="22" t="n">
        <x:v>3</x:v>
      </x:c>
      <x:c r="I43" s="22" t="str">
        <x:v>Л.21 / л.35; PDF 22/36</x:v>
      </x:c>
      <x:c r="J43" s="22" t="str">
        <x:v>По РД; геометрия P2. Арматура — в спецификации, не полный каркас в 3D.</x:v>
      </x:c>
    </x:row>
    <x:row r="44" ht="44" customHeight="1">
      <x:c r="A44" s="26" t="str">
        <x:v>F3_MU14</x:v>
      </x:c>
      <x:c r="B44" s="26" t="n">
        <x:v>21</x:v>
      </x:c>
      <x:c r="C44" s="28" t="n">
        <x:v>7.1</x:v>
      </x:c>
      <x:c r="D44" s="26" t="str">
        <x:v>МУ 14</x:v>
      </x:c>
      <x:c r="E44" s="26" t="n">
        <x:v>2</x:v>
      </x:c>
      <x:c r="F44" s="32" t="n">
        <x:v>1.75</x:v>
      </x:c>
      <x:c r="G44" s="32" t="n">
        <x:v>10.44</x:v>
      </x:c>
      <x:c r="H44" s="26" t="n">
        <x:v>1</x:v>
      </x:c>
      <x:c r="I44" s="26" t="str">
        <x:v>Л.21 / л.28; PDF 22/29</x:v>
      </x:c>
      <x:c r="J44" s="26" t="str">
        <x:v>По РД; геометрия P2. Арматура — в спецификации, не полный каркас в 3D.</x:v>
      </x:c>
    </x:row>
    <x:row r="45" ht="44" customHeight="1">
      <x:c r="A45" s="22" t="str">
        <x:v>F3_MU31</x:v>
      </x:c>
      <x:c r="B45" s="22" t="n">
        <x:v>21</x:v>
      </x:c>
      <x:c r="C45" s="29" t="n">
        <x:v>7.1</x:v>
      </x:c>
      <x:c r="D45" s="22" t="str">
        <x:v>МУ 31</x:v>
      </x:c>
      <x:c r="E45" s="22" t="n">
        <x:v>0</x:v>
      </x:c>
      <x:c r="F45" s="33" t="n">
        <x:v>0.64</x:v>
      </x:c>
      <x:c r="G45" s="33" t="n">
        <x:v>0</x:v>
      </x:c>
      <x:c r="H45" s="22" t="n">
        <x:v>3</x:v>
      </x:c>
      <x:c r="I45" s="22" t="str">
        <x:v>Л.21 / л.35; PDF 22/36</x:v>
      </x:c>
      <x:c r="J45" s="22" t="str">
        <x:v>По РД; геометрия P2. Арматура — в спецификации, не полный каркас в 3D.</x:v>
      </x:c>
    </x:row>
    <x:row r="46" ht="44" customHeight="1">
      <x:c r="A46" s="26" t="str">
        <x:v>F3_MU15</x:v>
      </x:c>
      <x:c r="B46" s="26" t="n">
        <x:v>21</x:v>
      </x:c>
      <x:c r="C46" s="28" t="n">
        <x:v>7.1</x:v>
      </x:c>
      <x:c r="D46" s="26" t="str">
        <x:v>МУ 15</x:v>
      </x:c>
      <x:c r="E46" s="26" t="n">
        <x:v>0</x:v>
      </x:c>
      <x:c r="F46" s="32" t="n">
        <x:v>1.1</x:v>
      </x:c>
      <x:c r="G46" s="32" t="n">
        <x:v>0</x:v>
      </x:c>
      <x:c r="H46" s="26" t="n">
        <x:v>0</x:v>
      </x:c>
      <x:c r="I46" s="26" t="str">
        <x:v>Л.21 / л.23; PDF 22/24</x:v>
      </x:c>
      <x:c r="J46" s="26" t="str">
        <x:v>По РД; геометрия P2. Арматура — в спецификации, не полный каркас в 3D.</x:v>
      </x:c>
    </x:row>
    <x:row r="47" ht="44" customHeight="1">
      <x:c r="A47" s="22" t="str">
        <x:v>F3_MU16</x:v>
      </x:c>
      <x:c r="B47" s="22" t="n">
        <x:v>21</x:v>
      </x:c>
      <x:c r="C47" s="29" t="n">
        <x:v>7.1</x:v>
      </x:c>
      <x:c r="D47" s="22" t="str">
        <x:v>МУ 16</x:v>
      </x:c>
      <x:c r="E47" s="22" t="n">
        <x:v>2</x:v>
      </x:c>
      <x:c r="F47" s="33" t="n">
        <x:v>1.75</x:v>
      </x:c>
      <x:c r="G47" s="33" t="n">
        <x:v>10.34</x:v>
      </x:c>
      <x:c r="H47" s="22" t="n">
        <x:v>3</x:v>
      </x:c>
      <x:c r="I47" s="22" t="str">
        <x:v>Л.21 / л.29; PDF 22/30</x:v>
      </x:c>
      <x:c r="J47" s="22" t="str">
        <x:v>По РД; геометрия P2. Арматура — в спецификации, не полный каркас в 3D.</x:v>
      </x:c>
    </x:row>
    <x:row r="48" ht="44" customHeight="1">
      <x:c r="A48" s="26" t="str">
        <x:v>F3_MU17</x:v>
      </x:c>
      <x:c r="B48" s="26" t="n">
        <x:v>21</x:v>
      </x:c>
      <x:c r="C48" s="28" t="n">
        <x:v>7.1</x:v>
      </x:c>
      <x:c r="D48" s="26" t="str">
        <x:v>МУ 17</x:v>
      </x:c>
      <x:c r="E48" s="26" t="n">
        <x:v>2</x:v>
      </x:c>
      <x:c r="F48" s="32" t="n">
        <x:v>1.75</x:v>
      </x:c>
      <x:c r="G48" s="32" t="n">
        <x:v>9.11</x:v>
      </x:c>
      <x:c r="H48" s="26" t="n">
        <x:v>4</x:v>
      </x:c>
      <x:c r="I48" s="26" t="str">
        <x:v>Л.21 / л.29; PDF 22/30</x:v>
      </x:c>
      <x:c r="J48" s="26" t="str">
        <x:v>По РД; геометрия P2. Арматура — в спецификации, не полный каркас в 3D.</x:v>
      </x:c>
    </x:row>
    <x:row r="49" ht="44" customHeight="1">
      <x:c r="A49" s="22" t="str">
        <x:v>F3_MU18</x:v>
      </x:c>
      <x:c r="B49" s="22" t="n">
        <x:v>21</x:v>
      </x:c>
      <x:c r="C49" s="29" t="n">
        <x:v>7.1</x:v>
      </x:c>
      <x:c r="D49" s="22" t="str">
        <x:v>МУ 18</x:v>
      </x:c>
      <x:c r="E49" s="22" t="n">
        <x:v>2</x:v>
      </x:c>
      <x:c r="F49" s="33" t="n">
        <x:v>1.75</x:v>
      </x:c>
      <x:c r="G49" s="33" t="n">
        <x:v>8.83</x:v>
      </x:c>
      <x:c r="H49" s="22" t="n">
        <x:v>2</x:v>
      </x:c>
      <x:c r="I49" s="22" t="str">
        <x:v>Л.21 / л.28; PDF 22/29</x:v>
      </x:c>
      <x:c r="J49" s="22" t="str">
        <x:v>По РД; геометрия P2. Арматура — в спецификации, не полный каркас в 3D.</x:v>
      </x:c>
    </x:row>
    <x:row r="50" ht="44" customHeight="1">
      <x:c r="A50" s="26" t="str">
        <x:v>F3_MU19</x:v>
      </x:c>
      <x:c r="B50" s="26" t="n">
        <x:v>21</x:v>
      </x:c>
      <x:c r="C50" s="28" t="n">
        <x:v>7.1</x:v>
      </x:c>
      <x:c r="D50" s="26" t="str">
        <x:v>МУ 19</x:v>
      </x:c>
      <x:c r="E50" s="26" t="n">
        <x:v>2</x:v>
      </x:c>
      <x:c r="F50" s="32" t="n">
        <x:v>1.75</x:v>
      </x:c>
      <x:c r="G50" s="32" t="n">
        <x:v>9.29</x:v>
      </x:c>
      <x:c r="H50" s="26" t="n">
        <x:v>5</x:v>
      </x:c>
      <x:c r="I50" s="26" t="str">
        <x:v>Л.21 / л.30; PDF 22/31</x:v>
      </x:c>
      <x:c r="J50" s="26" t="str">
        <x:v>По РД; геометрия P2. Арматура — в спецификации, не полный каркас в 3D.</x:v>
      </x:c>
    </x:row>
    <x:row r="51" ht="44" customHeight="1">
      <x:c r="A51" s="22" t="str">
        <x:v>F3_MU32</x:v>
      </x:c>
      <x:c r="B51" s="22" t="n">
        <x:v>21</x:v>
      </x:c>
      <x:c r="C51" s="29" t="n">
        <x:v>7.1</x:v>
      </x:c>
      <x:c r="D51" s="22" t="str">
        <x:v>МУ 32</x:v>
      </x:c>
      <x:c r="E51" s="22" t="n">
        <x:v>2</x:v>
      </x:c>
      <x:c r="F51" s="33" t="n">
        <x:v>1.75</x:v>
      </x:c>
      <x:c r="G51" s="33" t="n">
        <x:v>9.81</x:v>
      </x:c>
      <x:c r="H51" s="22" t="n">
        <x:v>4</x:v>
      </x:c>
      <x:c r="I51" s="22" t="str">
        <x:v>Л.21 / л.36; PDF 22/37</x:v>
      </x:c>
      <x:c r="J51" s="22" t="str">
        <x:v>По РД; геометрия P2. Арматура — в спецификации, не полный каркас в 3D.</x:v>
      </x:c>
    </x:row>
    <x:row r="52" ht="44" customHeight="1">
      <x:c r="A52" s="26" t="str">
        <x:v>F3_MU33</x:v>
      </x:c>
      <x:c r="B52" s="26" t="n">
        <x:v>21</x:v>
      </x:c>
      <x:c r="C52" s="28" t="n">
        <x:v>7.1</x:v>
      </x:c>
      <x:c r="D52" s="26" t="str">
        <x:v>МУ 33</x:v>
      </x:c>
      <x:c r="E52" s="26" t="n">
        <x:v>2</x:v>
      </x:c>
      <x:c r="F52" s="32" t="n">
        <x:v>1.75</x:v>
      </x:c>
      <x:c r="G52" s="32" t="n">
        <x:v>9.81</x:v>
      </x:c>
      <x:c r="H52" s="26" t="n">
        <x:v>2</x:v>
      </x:c>
      <x:c r="I52" s="26" t="str">
        <x:v>Л.21 / л.36; PDF 22/37</x:v>
      </x:c>
      <x:c r="J52" s="26" t="str">
        <x:v>По РД; геометрия P2. Арматура — в спецификации, не полный каркас в 3D.</x:v>
      </x:c>
    </x:row>
    <x:row r="53" ht="44" customHeight="1">
      <x:c r="A53" s="22" t="str">
        <x:v>F3_MU34</x:v>
      </x:c>
      <x:c r="B53" s="22" t="n">
        <x:v>21</x:v>
      </x:c>
      <x:c r="C53" s="29" t="n">
        <x:v>7.1</x:v>
      </x:c>
      <x:c r="D53" s="22" t="str">
        <x:v>МУ 34</x:v>
      </x:c>
      <x:c r="E53" s="22" t="n">
        <x:v>0</x:v>
      </x:c>
      <x:c r="F53" s="33" t="n">
        <x:v>1.4</x:v>
      </x:c>
      <x:c r="G53" s="33" t="n">
        <x:v>0</x:v>
      </x:c>
      <x:c r="H53" s="22" t="n">
        <x:v>1</x:v>
      </x:c>
      <x:c r="I53" s="22" t="str">
        <x:v>Л.21 / л.37; PDF 22/38</x:v>
      </x:c>
      <x:c r="J53" s="22" t="str">
        <x:v>По РД; геометрия P2. Арматура — в спецификации, не полный каркас в 3D.</x:v>
      </x:c>
    </x:row>
  </x:sheetData>
  <x:mergeCells>
    <x:mergeCell ref="A1:J2"/>
    <x:mergeCell ref="A3:J3"/>
  </x:mergeCells>
  <x:conditionalFormatting sqref="A6:J53">
    <x:cfRule type="expression" dxfId="0" priority="1">
      <x:formula>$C6=4.7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628d26ed8f4b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38" hidden="0" customWidth="1"/>
    <x:col min="4" max="4" width="8" hidden="0" customWidth="1"/>
    <x:col min="5" max="5" width="12" hidden="0" customWidth="1"/>
    <x:col min="6" max="6" width="12" hidden="0" customWidth="1"/>
    <x:col min="7" max="7" width="16" hidden="0" customWidth="1"/>
    <x:col min="8" max="8" width="14" hidden="0" customWidth="1"/>
    <x:col min="9" max="9" width="15" hidden="0" customWidth="1"/>
    <x:col min="10" max="10" width="22" hidden="0" customWidth="1"/>
    <x:col min="11" max="11" width="38" hidden="0" customWidth="1"/>
  </x:cols>
  <x:sheetData>
    <x:row r="1" ht="22" customHeight="1">
      <x:c r="A1" s="95" t="str">
        <x:v>Спецификация · схема л.20</x:v>
      </x:c>
      <x:c r="B1" s="95"/>
      <x:c r="C1" s="95"/>
      <x:c r="D1" s="95"/>
      <x:c r="E1" s="95"/>
      <x:c r="F1" s="95"/>
      <x:c r="G1" s="95"/>
      <x:c r="H1" s="95"/>
      <x:c r="I1" s="95"/>
      <x:c r="J1" s="95"/>
      <x:c r="K1" s="4"/>
    </x:row>
    <x:row r="2" ht="22" customHeight="1">
      <x:c r="A2" s="95"/>
      <x:c r="B2" s="95"/>
      <x:c r="C2" s="95"/>
      <x:c r="D2" s="95"/>
      <x:c r="E2" s="95"/>
      <x:c r="F2" s="95"/>
      <x:c r="G2" s="95"/>
      <x:c r="H2" s="95"/>
      <x:c r="I2" s="95"/>
      <x:c r="J2" s="95"/>
      <x:c r="K2" s="4"/>
    </x:row>
    <x:row r="3" ht="36" customHeight="1">
      <x:c r="A3" s="10" t="str">
        <x:v>Количества на один МУ из РД; число размещений — по плану. Массы сомнительных строк не исправлялись. Общая масса усиления здесь не подводится.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40" customHeight="1">
      <x:c r="A5" s="16" t="str">
        <x:v>Марка</x:v>
      </x:c>
      <x:c r="B5" s="16" t="str">
        <x:v>Поз.</x:v>
      </x:c>
      <x:c r="C5" s="16" t="str">
        <x:v>Наименование по РД</x:v>
      </x:c>
      <x:c r="D5" s="16" t="str">
        <x:v>Ед.</x:v>
      </x:c>
      <x:c r="E5" s="16" t="str">
        <x:v>На 1 МУ</x:v>
      </x:c>
      <x:c r="F5" s="16" t="str">
        <x:v>МУ на схеме</x:v>
      </x:c>
      <x:c r="G5" s="16" t="str">
        <x:v>Общее количество</x:v>
      </x:c>
      <x:c r="H5" s="16" t="str">
        <x:v>Масса ед. РД, кг</x:v>
      </x:c>
      <x:c r="I5" s="16" t="str">
        <x:v>Арифм. масса, кг</x:v>
      </x:c>
      <x:c r="J5" s="16" t="str">
        <x:v>Источник</x:v>
      </x:c>
      <x:c r="K5" s="16" t="str">
        <x:v>Примечание</x:v>
      </x:c>
    </x:row>
    <x:row r="6" ht="46" customHeight="1">
      <x:c r="A6" s="26" t="str">
        <x:v>МУ 1</x:v>
      </x:c>
      <x:c r="B6" s="26" t="str">
        <x:v>1</x:v>
      </x:c>
      <x:c r="C6" s="26" t="str">
        <x:v>16 - А 500 С , м.п</x:v>
      </x:c>
      <x:c r="D6" s="26" t="str">
        <x:v>п.м</x:v>
      </x:c>
      <x:c r="E6" s="83" t="n">
        <x:v>17.28</x:v>
      </x:c>
      <x:c r="F6" s="84" t="n">
        <x:v>1</x:v>
      </x:c>
      <x:c r="G6" s="83" t="n">
        <x:f>E6*F6</x:f>
        <x:v>17.28</x:v>
      </x:c>
      <x:c r="H6" s="83" t="n">
        <x:v>1.578</x:v>
      </x:c>
      <x:c r="I6" s="83" t="n">
        <x:f>IF(H6="","",G6*H6)</x:f>
        <x:v>27.267840000000003</x:v>
      </x:c>
      <x:c r="J6" s="26" t="str">
        <x:v>Л.23, PDF 24</x:v>
      </x:c>
      <x:c r="K6" s="26" t="str">
        <x:v>Исходная строка РД; не масса смонтированной конструкции.</x:v>
      </x:c>
    </x:row>
    <x:row r="7" ht="46" customHeight="1">
      <x:c r="A7" s="22" t="str">
        <x:v>МУ 1</x:v>
      </x:c>
      <x:c r="B7" s="22" t="str">
        <x:v>П 1</x:v>
      </x:c>
      <x:c r="C7" s="22" t="str">
        <x:v>12- А 500 С , L =1315</x:v>
      </x:c>
      <x:c r="D7" s="22" t="str">
        <x:v>шт.</x:v>
      </x:c>
      <x:c r="E7" s="85" t="n">
        <x:v>12</x:v>
      </x:c>
      <x:c r="F7" s="86" t="n">
        <x:v>1</x:v>
      </x:c>
      <x:c r="G7" s="85" t="n">
        <x:f>E7*F7</x:f>
        <x:v>12</x:v>
      </x:c>
      <x:c r="H7" s="85" t="n">
        <x:v>1.17</x:v>
      </x:c>
      <x:c r="I7" s="85" t="n">
        <x:f>IF(H7="","",G7*H7)</x:f>
        <x:v>14.04</x:v>
      </x:c>
      <x:c r="J7" s="22" t="str">
        <x:v>Л.23, PDF 24</x:v>
      </x:c>
      <x:c r="K7" s="22" t="str">
        <x:v>Исходная строка РД; не масса смонтированной конструкции.</x:v>
      </x:c>
    </x:row>
    <x:row r="8" ht="46" customHeight="1">
      <x:c r="A8" s="26" t="str">
        <x:v>МУ 1</x:v>
      </x:c>
      <x:c r="B8" s="26" t="str">
        <x:v>П 2</x:v>
      </x:c>
      <x:c r="C8" s="26" t="str">
        <x:v>12- А 500 С , L =1820</x:v>
      </x:c>
      <x:c r="D8" s="26" t="str">
        <x:v>шт.</x:v>
      </x:c>
      <x:c r="E8" s="83" t="n">
        <x:v>16</x:v>
      </x:c>
      <x:c r="F8" s="84" t="n">
        <x:v>1</x:v>
      </x:c>
      <x:c r="G8" s="83" t="n">
        <x:f>E8*F8</x:f>
        <x:v>16</x:v>
      </x:c>
      <x:c r="H8" s="83" t="n">
        <x:v>1.62</x:v>
      </x:c>
      <x:c r="I8" s="83" t="n">
        <x:f>IF(H8="","",G8*H8)</x:f>
        <x:v>25.92</x:v>
      </x:c>
      <x:c r="J8" s="26" t="str">
        <x:v>Л.23, PDF 24</x:v>
      </x:c>
      <x:c r="K8" s="26" t="str">
        <x:v>Исходная строка РД; не масса смонтированной конструкции.</x:v>
      </x:c>
    </x:row>
    <x:row r="9" ht="46" customHeight="1">
      <x:c r="A9" s="22" t="str">
        <x:v>МУ 1</x:v>
      </x:c>
      <x:c r="B9" s="22" t="str">
        <x:v>Ф 1</x:v>
      </x:c>
      <x:c r="C9" s="22" t="str">
        <x:v>10- А 500 С , L =1030</x:v>
      </x:c>
      <x:c r="D9" s="22" t="str">
        <x:v>шт.</x:v>
      </x:c>
      <x:c r="E9" s="85" t="n">
        <x:v>3</x:v>
      </x:c>
      <x:c r="F9" s="86" t="n">
        <x:v>1</x:v>
      </x:c>
      <x:c r="G9" s="85" t="n">
        <x:f>E9*F9</x:f>
        <x:v>3</x:v>
      </x:c>
      <x:c r="H9" s="85" t="n">
        <x:v>0.64</x:v>
      </x:c>
      <x:c r="I9" s="85" t="n">
        <x:f>IF(H9="","",G9*H9)</x:f>
        <x:v>1.92</x:v>
      </x:c>
      <x:c r="J9" s="22" t="str">
        <x:v>Л.23, PDF 24</x:v>
      </x:c>
      <x:c r="K9" s="22" t="str">
        <x:v>Исходная строка РД; не масса смонтированной конструкции.</x:v>
      </x:c>
    </x:row>
    <x:row r="10" ht="46" customHeight="1">
      <x:c r="A10" s="26" t="str">
        <x:v>МУ 1</x:v>
      </x:c>
      <x:c r="B10" s="26" t="str"/>
      <x:c r="C10" s="26" t="str">
        <x:v>Бетон В 20</x:v>
      </x:c>
      <x:c r="D10" s="26" t="str">
        <x:v>м³</x:v>
      </x:c>
      <x:c r="E10" s="83" t="n">
        <x:v>0.32</x:v>
      </x:c>
      <x:c r="F10" s="84" t="n">
        <x:v>1</x:v>
      </x:c>
      <x:c r="G10" s="83" t="n">
        <x:f>E10*F10</x:f>
        <x:v>0.32</x:v>
      </x:c>
      <x:c r="H10" s="83"/>
      <x:c r="I10" s="83" t="str">
        <x:f>IF(H10="","",G10*H10)</x:f>
      </x:c>
      <x:c r="J10" s="26" t="str">
        <x:v>Л.23, PDF 24</x:v>
      </x:c>
      <x:c r="K10" s="26" t="str">
        <x:v>Исходная строка РД; не масса смонтированной конструкции.</x:v>
      </x:c>
    </x:row>
    <x:row r="11" ht="46" customHeight="1">
      <x:c r="A11" s="22" t="str">
        <x:v>МУ 2</x:v>
      </x:c>
      <x:c r="B11" s="22" t="str">
        <x:v>1</x:v>
      </x:c>
      <x:c r="C11" s="22" t="str">
        <x:v>16 - А 500 С , м .п</x:v>
      </x:c>
      <x:c r="D11" s="22" t="str">
        <x:v>п.м</x:v>
      </x:c>
      <x:c r="E11" s="85" t="n">
        <x:v>27.24</x:v>
      </x:c>
      <x:c r="F11" s="86" t="n">
        <x:v>1</x:v>
      </x:c>
      <x:c r="G11" s="85" t="n">
        <x:f>E11*F11</x:f>
        <x:v>27.24</x:v>
      </x:c>
      <x:c r="H11" s="85" t="n">
        <x:v>1.578</x:v>
      </x:c>
      <x:c r="I11" s="85" t="n">
        <x:f>IF(H11="","",G11*H11)</x:f>
        <x:v>42.98472</x:v>
      </x:c>
      <x:c r="J11" s="22" t="str">
        <x:v>Л.23, PDF 24</x:v>
      </x:c>
      <x:c r="K11" s="22" t="str">
        <x:v>Исходная строка РД; не масса смонтированной конструкции.</x:v>
      </x:c>
    </x:row>
    <x:row r="12" ht="46" customHeight="1">
      <x:c r="A12" s="26" t="str">
        <x:v>МУ 2</x:v>
      </x:c>
      <x:c r="B12" s="26" t="str">
        <x:v>П 1</x:v>
      </x:c>
      <x:c r="C12" s="26" t="str">
        <x:v>12- А 500 С , L =1315</x:v>
      </x:c>
      <x:c r="D12" s="26" t="str">
        <x:v>шт.</x:v>
      </x:c>
      <x:c r="E12" s="83" t="n">
        <x:v>12</x:v>
      </x:c>
      <x:c r="F12" s="84" t="n">
        <x:v>1</x:v>
      </x:c>
      <x:c r="G12" s="83" t="n">
        <x:f>E12*F12</x:f>
        <x:v>12</x:v>
      </x:c>
      <x:c r="H12" s="83" t="n">
        <x:v>1.17</x:v>
      </x:c>
      <x:c r="I12" s="83" t="n">
        <x:f>IF(H12="","",G12*H12)</x:f>
        <x:v>14.04</x:v>
      </x:c>
      <x:c r="J12" s="26" t="str">
        <x:v>Л.23, PDF 24</x:v>
      </x:c>
      <x:c r="K12" s="26" t="str">
        <x:v>Исходная строка РД; не масса смонтированной конструкции.</x:v>
      </x:c>
    </x:row>
    <x:row r="13" ht="46" customHeight="1">
      <x:c r="A13" s="22" t="str">
        <x:v>МУ 2</x:v>
      </x:c>
      <x:c r="B13" s="22" t="str">
        <x:v>П 2</x:v>
      </x:c>
      <x:c r="C13" s="22" t="str">
        <x:v>12- А 500 С , L =1820</x:v>
      </x:c>
      <x:c r="D13" s="22" t="str">
        <x:v>шт.</x:v>
      </x:c>
      <x:c r="E13" s="85" t="n">
        <x:v>26</x:v>
      </x:c>
      <x:c r="F13" s="86" t="n">
        <x:v>1</x:v>
      </x:c>
      <x:c r="G13" s="85" t="n">
        <x:f>E13*F13</x:f>
        <x:v>26</x:v>
      </x:c>
      <x:c r="H13" s="85" t="n">
        <x:v>1.62</x:v>
      </x:c>
      <x:c r="I13" s="85" t="n">
        <x:f>IF(H13="","",G13*H13)</x:f>
        <x:v>42.120000000000005</x:v>
      </x:c>
      <x:c r="J13" s="22" t="str">
        <x:v>Л.23, PDF 24</x:v>
      </x:c>
      <x:c r="K13" s="22" t="str">
        <x:v>Исходная строка РД; не масса смонтированной конструкции.</x:v>
      </x:c>
    </x:row>
    <x:row r="14" ht="46" customHeight="1">
      <x:c r="A14" s="26" t="str">
        <x:v>МУ 2</x:v>
      </x:c>
      <x:c r="B14" s="26" t="str">
        <x:v>Ф 1</x:v>
      </x:c>
      <x:c r="C14" s="26" t="str">
        <x:v>10- А 500 С , L =1030</x:v>
      </x:c>
      <x:c r="D14" s="26" t="str">
        <x:v>шт.</x:v>
      </x:c>
      <x:c r="E14" s="83" t="n">
        <x:v>5</x:v>
      </x:c>
      <x:c r="F14" s="84" t="n">
        <x:v>1</x:v>
      </x:c>
      <x:c r="G14" s="83" t="n">
        <x:f>E14*F14</x:f>
        <x:v>5</x:v>
      </x:c>
      <x:c r="H14" s="83" t="n">
        <x:v>0.64</x:v>
      </x:c>
      <x:c r="I14" s="83" t="n">
        <x:f>IF(H14="","",G14*H14)</x:f>
        <x:v>3.2</x:v>
      </x:c>
      <x:c r="J14" s="26" t="str">
        <x:v>Л.23, PDF 24</x:v>
      </x:c>
      <x:c r="K14" s="26" t="str">
        <x:v>Исходная строка РД; не масса смонтированной конструкции.</x:v>
      </x:c>
    </x:row>
    <x:row r="15" ht="46" customHeight="1">
      <x:c r="A15" s="22" t="str">
        <x:v>МУ 2</x:v>
      </x:c>
      <x:c r="B15" s="22" t="str"/>
      <x:c r="C15" s="22" t="str">
        <x:v>Бетон В 20</x:v>
      </x:c>
      <x:c r="D15" s="22" t="str">
        <x:v>м³</x:v>
      </x:c>
      <x:c r="E15" s="85" t="n">
        <x:v>0.51</x:v>
      </x:c>
      <x:c r="F15" s="86" t="n">
        <x:v>1</x:v>
      </x:c>
      <x:c r="G15" s="85" t="n">
        <x:f>E15*F15</x:f>
        <x:v>0.51</x:v>
      </x:c>
      <x:c r="H15" s="85"/>
      <x:c r="I15" s="85" t="str">
        <x:f>IF(H15="","",G15*H15)</x:f>
      </x:c>
      <x:c r="J15" s="22" t="str">
        <x:v>Л.23, PDF 24</x:v>
      </x:c>
      <x:c r="K15" s="22" t="str">
        <x:v>Исходная строка РД; не масса смонтированной конструкции.</x:v>
      </x:c>
    </x:row>
    <x:row r="16" ht="46" customHeight="1">
      <x:c r="A16" s="26" t="str">
        <x:v>МУ 3</x:v>
      </x:c>
      <x:c r="B16" s="26" t="str">
        <x:v>1</x:v>
      </x:c>
      <x:c r="C16" s="26" t="str">
        <x:v>16 - А 500 С , м .п</x:v>
      </x:c>
      <x:c r="D16" s="26" t="str">
        <x:v>п.м</x:v>
      </x:c>
      <x:c r="E16" s="83" t="n">
        <x:v>103.1</x:v>
      </x:c>
      <x:c r="F16" s="84" t="n">
        <x:v>1</x:v>
      </x:c>
      <x:c r="G16" s="83" t="n">
        <x:f>E16*F16</x:f>
        <x:v>103.1</x:v>
      </x:c>
      <x:c r="H16" s="83" t="n">
        <x:v>1.578</x:v>
      </x:c>
      <x:c r="I16" s="83" t="n">
        <x:f>IF(H16="","",G16*H16)</x:f>
        <x:v>162.6918</x:v>
      </x:c>
      <x:c r="J16" s="26" t="str">
        <x:v>Л.23, PDF 24</x:v>
      </x:c>
      <x:c r="K16" s="26" t="str">
        <x:v>Исходная строка РД; не масса смонтированной конструкции.</x:v>
      </x:c>
    </x:row>
    <x:row r="17" ht="46" customHeight="1">
      <x:c r="A17" s="22" t="str">
        <x:v>МУ 3</x:v>
      </x:c>
      <x:c r="B17" s="22" t="str">
        <x:v>П 1</x:v>
      </x:c>
      <x:c r="C17" s="22" t="str">
        <x:v>12- А 500 С , L =1315</x:v>
      </x:c>
      <x:c r="D17" s="22" t="str">
        <x:v>шт.</x:v>
      </x:c>
      <x:c r="E17" s="85" t="n">
        <x:v>40</x:v>
      </x:c>
      <x:c r="F17" s="86" t="n">
        <x:v>1</x:v>
      </x:c>
      <x:c r="G17" s="85" t="n">
        <x:f>E17*F17</x:f>
        <x:v>40</x:v>
      </x:c>
      <x:c r="H17" s="85" t="n">
        <x:v>1.17</x:v>
      </x:c>
      <x:c r="I17" s="85" t="n">
        <x:f>IF(H17="","",G17*H17)</x:f>
        <x:v>46.8</x:v>
      </x:c>
      <x:c r="J17" s="22" t="str">
        <x:v>Л.23, PDF 24</x:v>
      </x:c>
      <x:c r="K17" s="22" t="str">
        <x:v>Исходная строка РД; не масса смонтированной конструкции.</x:v>
      </x:c>
    </x:row>
    <x:row r="18" ht="46" customHeight="1">
      <x:c r="A18" s="26" t="str">
        <x:v>МУ 3</x:v>
      </x:c>
      <x:c r="B18" s="26" t="str">
        <x:v>Ф 1</x:v>
      </x:c>
      <x:c r="C18" s="26" t="str">
        <x:v>10- А 500 С , L =1030</x:v>
      </x:c>
      <x:c r="D18" s="26" t="str">
        <x:v>шт.</x:v>
      </x:c>
      <x:c r="E18" s="83" t="n">
        <x:v>10</x:v>
      </x:c>
      <x:c r="F18" s="84" t="n">
        <x:v>1</x:v>
      </x:c>
      <x:c r="G18" s="83" t="n">
        <x:f>E18*F18</x:f>
        <x:v>10</x:v>
      </x:c>
      <x:c r="H18" s="83" t="n">
        <x:v>0.64</x:v>
      </x:c>
      <x:c r="I18" s="83" t="n">
        <x:f>IF(H18="","",G18*H18)</x:f>
        <x:v>6.4</x:v>
      </x:c>
      <x:c r="J18" s="26" t="str">
        <x:v>Л.23, PDF 24</x:v>
      </x:c>
      <x:c r="K18" s="26" t="str">
        <x:v>Исходная строка РД; не масса смонтированной конструкции.</x:v>
      </x:c>
    </x:row>
    <x:row r="19" ht="46" customHeight="1">
      <x:c r="A19" s="22" t="str">
        <x:v>МУ 3</x:v>
      </x:c>
      <x:c r="B19" s="22" t="str"/>
      <x:c r="C19" s="22" t="str">
        <x:v>Бетон В 20</x:v>
      </x:c>
      <x:c r="D19" s="22" t="str">
        <x:v>м³</x:v>
      </x:c>
      <x:c r="E19" s="85" t="n">
        <x:v>1.03</x:v>
      </x:c>
      <x:c r="F19" s="86" t="n">
        <x:v>1</x:v>
      </x:c>
      <x:c r="G19" s="85" t="n">
        <x:f>E19*F19</x:f>
        <x:v>1.03</x:v>
      </x:c>
      <x:c r="H19" s="85"/>
      <x:c r="I19" s="85" t="str">
        <x:f>IF(H19="","",G19*H19)</x:f>
      </x:c>
      <x:c r="J19" s="22" t="str">
        <x:v>Л.23, PDF 24</x:v>
      </x:c>
      <x:c r="K19" s="22" t="str">
        <x:v>Исходная строка РД; не масса смонтированной конструкции.</x:v>
      </x:c>
    </x:row>
    <x:row r="20" ht="46" customHeight="1">
      <x:c r="A20" s="26" t="str">
        <x:v>МУ 4</x:v>
      </x:c>
      <x:c r="B20" s="26" t="str">
        <x:v>Б 1</x:v>
      </x:c>
      <x:c r="C20" s="26" t="str">
        <x:v>Балка металлическая Б 1</x:v>
      </x:c>
      <x:c r="D20" s="26" t="str">
        <x:v>шт.</x:v>
      </x:c>
      <x:c r="E20" s="83" t="n">
        <x:v>2</x:v>
      </x:c>
      <x:c r="F20" s="84" t="n">
        <x:v>1</x:v>
      </x:c>
      <x:c r="G20" s="83" t="n">
        <x:f>E20*F20</x:f>
        <x:v>2</x:v>
      </x:c>
      <x:c r="H20" s="83"/>
      <x:c r="I20" s="83" t="str">
        <x:f>IF(H20="","",G20*H20)</x:f>
      </x:c>
      <x:c r="J20" s="26" t="str">
        <x:v>Л.24, PDF 25</x:v>
      </x:c>
      <x:c r="K20" s="26" t="str">
        <x:v>Сборка Б1. Состав/масса только на вкладке 04; здесь массу не суммировать.</x:v>
      </x:c>
    </x:row>
    <x:row r="21" ht="46" customHeight="1">
      <x:c r="A21" s="22" t="str">
        <x:v>МУ 4</x:v>
      </x:c>
      <x:c r="B21" s="22" t="str">
        <x:v>КР 6</x:v>
      </x:c>
      <x:c r="C21" s="22" t="str">
        <x:v>Каркас КР 6</x:v>
      </x:c>
      <x:c r="D21" s="22" t="str">
        <x:v>шт.</x:v>
      </x:c>
      <x:c r="E21" s="85" t="n">
        <x:v>31</x:v>
      </x:c>
      <x:c r="F21" s="86" t="n">
        <x:v>1</x:v>
      </x:c>
      <x:c r="G21" s="85" t="n">
        <x:f>E21*F21</x:f>
        <x:v>31</x:v>
      </x:c>
      <x:c r="H21" s="85"/>
      <x:c r="I21" s="85" t="str">
        <x:f>IF(H21="","",G21*H21)</x:f>
      </x:c>
      <x:c r="J21" s="22" t="str">
        <x:v>Л.24, PDF 25</x:v>
      </x:c>
      <x:c r="K21" s="22" t="str">
        <x:v>В РД; полная пространственная раскладка не смоделирована.</x:v>
      </x:c>
    </x:row>
    <x:row r="22" ht="46" customHeight="1">
      <x:c r="A22" s="26" t="str">
        <x:v>МУ 4</x:v>
      </x:c>
      <x:c r="B22" s="26" t="str">
        <x:v>3</x:v>
      </x:c>
      <x:c r="C22" s="26" t="str">
        <x:v>12- А 500 С , L =5740</x:v>
      </x:c>
      <x:c r="D22" s="26" t="str">
        <x:v>шт.</x:v>
      </x:c>
      <x:c r="E22" s="83" t="n">
        <x:v>6</x:v>
      </x:c>
      <x:c r="F22" s="84" t="n">
        <x:v>1</x:v>
      </x:c>
      <x:c r="G22" s="83" t="n">
        <x:f>E22*F22</x:f>
        <x:v>6</x:v>
      </x:c>
      <x:c r="H22" s="83" t="n">
        <x:v>5.1</x:v>
      </x:c>
      <x:c r="I22" s="83" t="n">
        <x:f>IF(H22="","",G22*H22)</x:f>
        <x:v>30.599999999999998</x:v>
      </x:c>
      <x:c r="J22" s="26" t="str">
        <x:v>Л.24, PDF 25</x:v>
      </x:c>
      <x:c r="K22" s="26" t="str">
        <x:v>Исходная строка РД; не масса смонтированной конструкции.</x:v>
      </x:c>
    </x:row>
    <x:row r="23" ht="46" customHeight="1">
      <x:c r="A23" s="22" t="str">
        <x:v>МУ 4</x:v>
      </x:c>
      <x:c r="B23" s="22" t="str">
        <x:v>4</x:v>
      </x:c>
      <x:c r="C23" s="22" t="str">
        <x:v>Уголок 75х5ГОСТ 8509-93 С245 ГОСТ 27772-2015 L= 1000</x:v>
      </x:c>
      <x:c r="D23" s="22" t="str">
        <x:v>шт.</x:v>
      </x:c>
      <x:c r="E23" s="85" t="n">
        <x:v>2</x:v>
      </x:c>
      <x:c r="F23" s="86" t="n">
        <x:v>1</x:v>
      </x:c>
      <x:c r="G23" s="85" t="n">
        <x:f>E23*F23</x:f>
        <x:v>2</x:v>
      </x:c>
      <x:c r="H23" s="85" t="n">
        <x:v>5.8</x:v>
      </x:c>
      <x:c r="I23" s="85" t="n">
        <x:f>IF(H23="","",G23*H23)</x:f>
        <x:v>11.6</x:v>
      </x:c>
      <x:c r="J23" s="22" t="str">
        <x:v>Л.24, PDF 25</x:v>
      </x:c>
      <x:c r="K23" s="22" t="str">
        <x:v>Геометрия частичная; контроль по вкладке 07.</x:v>
      </x:c>
    </x:row>
    <x:row r="24" ht="46" customHeight="1">
      <x:c r="A24" s="26" t="str">
        <x:v>МУ 4</x:v>
      </x:c>
      <x:c r="B24" s="26" t="str">
        <x:v>5</x:v>
      </x:c>
      <x:c r="C24" s="26" t="str">
        <x:v>Уголок 75х5ГОСТ 8509-93 С245 ГОСТ 27772-2015 L= 1050</x:v>
      </x:c>
      <x:c r="D24" s="26" t="str">
        <x:v>шт.</x:v>
      </x:c>
      <x:c r="E24" s="83" t="n">
        <x:v>2</x:v>
      </x:c>
      <x:c r="F24" s="84" t="n">
        <x:v>1</x:v>
      </x:c>
      <x:c r="G24" s="83" t="n">
        <x:f>E24*F24</x:f>
        <x:v>2</x:v>
      </x:c>
      <x:c r="H24" s="83" t="n">
        <x:v>6.09</x:v>
      </x:c>
      <x:c r="I24" s="83" t="n">
        <x:f>IF(H24="","",G24*H24)</x:f>
        <x:v>12.18</x:v>
      </x:c>
      <x:c r="J24" s="26" t="str">
        <x:v>Л.24, PDF 25</x:v>
      </x:c>
      <x:c r="K24" s="26" t="str">
        <x:v>Геометрия частичная; контроль по вкладке 07.</x:v>
      </x:c>
    </x:row>
    <x:row r="25" ht="46" customHeight="1">
      <x:c r="A25" s="22" t="str">
        <x:v>МУ 4</x:v>
      </x:c>
      <x:c r="B25" s="22" t="str"/>
      <x:c r="C25" s="22" t="str">
        <x:v>Бетон В 20</x:v>
      </x:c>
      <x:c r="D25" s="22" t="str">
        <x:v>м³</x:v>
      </x:c>
      <x:c r="E25" s="85" t="n">
        <x:v>1.1</x:v>
      </x:c>
      <x:c r="F25" s="86" t="n">
        <x:v>1</x:v>
      </x:c>
      <x:c r="G25" s="85" t="n">
        <x:f>E25*F25</x:f>
        <x:v>1.1</x:v>
      </x:c>
      <x:c r="H25" s="85"/>
      <x:c r="I25" s="85" t="str">
        <x:f>IF(H25="","",G25*H25)</x:f>
      </x:c>
      <x:c r="J25" s="22" t="str">
        <x:v>Л.24, PDF 25</x:v>
      </x:c>
      <x:c r="K25" s="22" t="str">
        <x:v>Исходная строка РД; не масса смонтированной конструкции.</x:v>
      </x:c>
    </x:row>
    <x:row r="26" ht="46" customHeight="1">
      <x:c r="A26" s="26" t="str">
        <x:v>МУ 4</x:v>
      </x:c>
      <x:c r="B26" s="26" t="str"/>
      <x:c r="C26" s="26" t="str">
        <x:v>Профлист Н 75-750-0,8</x:v>
      </x:c>
      <x:c r="D26" s="26" t="str">
        <x:v>м²</x:v>
      </x:c>
      <x:c r="E26" s="83" t="n">
        <x:v>6.4</x:v>
      </x:c>
      <x:c r="F26" s="84" t="n">
        <x:v>1</x:v>
      </x:c>
      <x:c r="G26" s="83" t="n">
        <x:f>E26*F26</x:f>
        <x:v>6.4</x:v>
      </x:c>
      <x:c r="H26" s="83"/>
      <x:c r="I26" s="83" t="str">
        <x:f>IF(H26="","",G26*H26)</x:f>
      </x:c>
      <x:c r="J26" s="26" t="str">
        <x:v>Л.24, PDF 25</x:v>
      </x:c>
      <x:c r="K26" s="26" t="str">
        <x:v>Исходная строка РД; не масса смонтированной конструкции.</x:v>
      </x:c>
    </x:row>
    <x:row r="27" ht="46" customHeight="1">
      <x:c r="A27" s="22" t="str">
        <x:v>МУ 5</x:v>
      </x:c>
      <x:c r="B27" s="22" t="str">
        <x:v>Б 1</x:v>
      </x:c>
      <x:c r="C27" s="22" t="str">
        <x:v>Балка металлическая Б 1</x:v>
      </x:c>
      <x:c r="D27" s="22" t="str">
        <x:v>шт.</x:v>
      </x:c>
      <x:c r="E27" s="85" t="n">
        <x:v>2</x:v>
      </x:c>
      <x:c r="F27" s="86" t="n">
        <x:v>1</x:v>
      </x:c>
      <x:c r="G27" s="85" t="n">
        <x:f>E27*F27</x:f>
        <x:v>2</x:v>
      </x:c>
      <x:c r="H27" s="85"/>
      <x:c r="I27" s="85" t="str">
        <x:f>IF(H27="","",G27*H27)</x:f>
      </x:c>
      <x:c r="J27" s="22" t="str">
        <x:v>Л.24, PDF 25</x:v>
      </x:c>
      <x:c r="K27" s="22" t="str">
        <x:v>Сборка Б1. Состав/масса только на вкладке 04; здесь массу не суммировать.</x:v>
      </x:c>
    </x:row>
    <x:row r="28" ht="46" customHeight="1">
      <x:c r="A28" s="26" t="str">
        <x:v>МУ 5</x:v>
      </x:c>
      <x:c r="B28" s="26" t="str">
        <x:v>КР 1</x:v>
      </x:c>
      <x:c r="C28" s="26" t="str">
        <x:v>Каркас КР 1</x:v>
      </x:c>
      <x:c r="D28" s="26" t="str">
        <x:v>шт.</x:v>
      </x:c>
      <x:c r="E28" s="83" t="n">
        <x:v>31</x:v>
      </x:c>
      <x:c r="F28" s="84" t="n">
        <x:v>1</x:v>
      </x:c>
      <x:c r="G28" s="83" t="n">
        <x:f>E28*F28</x:f>
        <x:v>31</x:v>
      </x:c>
      <x:c r="H28" s="83"/>
      <x:c r="I28" s="83" t="str">
        <x:f>IF(H28="","",G28*H28)</x:f>
      </x:c>
      <x:c r="J28" s="26" t="str">
        <x:v>Л.24, PDF 25</x:v>
      </x:c>
      <x:c r="K28" s="26" t="str">
        <x:v>В РД; полная пространственная раскладка не смоделирована.</x:v>
      </x:c>
    </x:row>
    <x:row r="29" ht="46" customHeight="1">
      <x:c r="A29" s="22" t="str">
        <x:v>МУ 5</x:v>
      </x:c>
      <x:c r="B29" s="22" t="str">
        <x:v>3</x:v>
      </x:c>
      <x:c r="C29" s="22" t="str">
        <x:v>12- А 500 С , L =5740</x:v>
      </x:c>
      <x:c r="D29" s="22" t="str">
        <x:v>шт.</x:v>
      </x:c>
      <x:c r="E29" s="85" t="n">
        <x:v>10</x:v>
      </x:c>
      <x:c r="F29" s="86" t="n">
        <x:v>1</x:v>
      </x:c>
      <x:c r="G29" s="85" t="n">
        <x:f>E29*F29</x:f>
        <x:v>10</x:v>
      </x:c>
      <x:c r="H29" s="85" t="n">
        <x:v>5.1</x:v>
      </x:c>
      <x:c r="I29" s="85" t="n">
        <x:f>IF(H29="","",G29*H29)</x:f>
        <x:v>51</x:v>
      </x:c>
      <x:c r="J29" s="22" t="str">
        <x:v>Л.24, PDF 25</x:v>
      </x:c>
      <x:c r="K29" s="22" t="str">
        <x:v>Исходная строка РД; не масса смонтированной конструкции.</x:v>
      </x:c>
    </x:row>
    <x:row r="30" ht="46" customHeight="1">
      <x:c r="A30" s="26" t="str">
        <x:v>МУ 5</x:v>
      </x:c>
      <x:c r="B30" s="26" t="str">
        <x:v>6</x:v>
      </x:c>
      <x:c r="C30" s="26" t="str">
        <x:v>Уголок 75х5ГОСТ 8509-93 С245 ГОСТ 27772-2015 L=1750 Обрамление отверстий в МУ 5</x:v>
      </x:c>
      <x:c r="D30" s="26" t="str">
        <x:v>шт.</x:v>
      </x:c>
      <x:c r="E30" s="83" t="n">
        <x:v>6</x:v>
      </x:c>
      <x:c r="F30" s="84" t="n">
        <x:v>1</x:v>
      </x:c>
      <x:c r="G30" s="83" t="n">
        <x:f>E30*F30</x:f>
        <x:v>6</x:v>
      </x:c>
      <x:c r="H30" s="83" t="n">
        <x:v>10.15</x:v>
      </x:c>
      <x:c r="I30" s="83" t="n">
        <x:f>IF(H30="","",G30*H30)</x:f>
        <x:v>60.900000000000006</x:v>
      </x:c>
      <x:c r="J30" s="26" t="str">
        <x:v>Л.24, PDF 25</x:v>
      </x:c>
      <x:c r="K30" s="26" t="str">
        <x:v>Геометрия частичная; контроль по вкладке 07.</x:v>
      </x:c>
    </x:row>
    <x:row r="31" ht="46" customHeight="1">
      <x:c r="A31" s="22" t="str">
        <x:v>МУ 5</x:v>
      </x:c>
      <x:c r="B31" s="22" t="str">
        <x:v>7</x:v>
      </x:c>
      <x:c r="C31" s="22" t="str">
        <x:v>Уголок 75х5ГОСТ 8509-93 С245 ГОСТ 27772-2015 L=1200</x:v>
      </x:c>
      <x:c r="D31" s="22" t="str">
        <x:v>шт.</x:v>
      </x:c>
      <x:c r="E31" s="85" t="n">
        <x:v>2</x:v>
      </x:c>
      <x:c r="F31" s="86" t="n">
        <x:v>1</x:v>
      </x:c>
      <x:c r="G31" s="85" t="n">
        <x:f>E31*F31</x:f>
        <x:v>2</x:v>
      </x:c>
      <x:c r="H31" s="85" t="n">
        <x:v>6.96</x:v>
      </x:c>
      <x:c r="I31" s="85" t="n">
        <x:f>IF(H31="","",G31*H31)</x:f>
        <x:v>13.92</x:v>
      </x:c>
      <x:c r="J31" s="22" t="str">
        <x:v>Л.24, PDF 25</x:v>
      </x:c>
      <x:c r="K31" s="22" t="str">
        <x:v>Геометрия частичная; контроль по вкладке 07.</x:v>
      </x:c>
    </x:row>
    <x:row r="32" ht="46" customHeight="1">
      <x:c r="A32" s="26" t="str">
        <x:v>МУ 5</x:v>
      </x:c>
      <x:c r="B32" s="26" t="str">
        <x:v>8</x:v>
      </x:c>
      <x:c r="C32" s="26" t="str">
        <x:v>Уголок 75х5ГОСТ 8509-93 С245 ГОСТ 27772-2015 L=800</x:v>
      </x:c>
      <x:c r="D32" s="26" t="str">
        <x:v>шт.</x:v>
      </x:c>
      <x:c r="E32" s="83" t="n">
        <x:v>2</x:v>
      </x:c>
      <x:c r="F32" s="84" t="n">
        <x:v>1</x:v>
      </x:c>
      <x:c r="G32" s="83" t="n">
        <x:f>E32*F32</x:f>
        <x:v>2</x:v>
      </x:c>
      <x:c r="H32" s="83" t="n">
        <x:v>4.64</x:v>
      </x:c>
      <x:c r="I32" s="83" t="n">
        <x:f>IF(H32="","",G32*H32)</x:f>
        <x:v>9.28</x:v>
      </x:c>
      <x:c r="J32" s="26" t="str">
        <x:v>Л.24, PDF 25</x:v>
      </x:c>
      <x:c r="K32" s="26" t="str">
        <x:v>Геометрия частичная; контроль по вкладке 07.</x:v>
      </x:c>
    </x:row>
    <x:row r="33" ht="46" customHeight="1">
      <x:c r="A33" s="22" t="str">
        <x:v>МУ 5</x:v>
      </x:c>
      <x:c r="B33" s="22" t="str">
        <x:v>9</x:v>
      </x:c>
      <x:c r="C33" s="22" t="str">
        <x:v>Уголок 75х5ГОСТ 8509-93 С245 ГОСТ 27772-2015 L=300</x:v>
      </x:c>
      <x:c r="D33" s="22" t="str">
        <x:v>шт.</x:v>
      </x:c>
      <x:c r="E33" s="85" t="n">
        <x:v>2</x:v>
      </x:c>
      <x:c r="F33" s="86" t="n">
        <x:v>1</x:v>
      </x:c>
      <x:c r="G33" s="85" t="n">
        <x:f>E33*F33</x:f>
        <x:v>2</x:v>
      </x:c>
      <x:c r="H33" s="85" t="n">
        <x:v>1.74</x:v>
      </x:c>
      <x:c r="I33" s="85" t="n">
        <x:f>IF(H33="","",G33*H33)</x:f>
        <x:v>3.48</x:v>
      </x:c>
      <x:c r="J33" s="22" t="str">
        <x:v>Л.24, PDF 25</x:v>
      </x:c>
      <x:c r="K33" s="22" t="str">
        <x:v>Геометрия частичная; контроль по вкладке 07.</x:v>
      </x:c>
    </x:row>
    <x:row r="34" ht="46" customHeight="1">
      <x:c r="A34" s="26" t="str">
        <x:v>МУ 5</x:v>
      </x:c>
      <x:c r="B34" s="26" t="str"/>
      <x:c r="C34" s="26" t="str">
        <x:v>Бетон В 20</x:v>
      </x:c>
      <x:c r="D34" s="26" t="str">
        <x:v>м³</x:v>
      </x:c>
      <x:c r="E34" s="83" t="n">
        <x:v>1.75</x:v>
      </x:c>
      <x:c r="F34" s="84" t="n">
        <x:v>1</x:v>
      </x:c>
      <x:c r="G34" s="83" t="n">
        <x:f>E34*F34</x:f>
        <x:v>1.75</x:v>
      </x:c>
      <x:c r="H34" s="83"/>
      <x:c r="I34" s="83" t="str">
        <x:f>IF(H34="","",G34*H34)</x:f>
      </x:c>
      <x:c r="J34" s="26" t="str">
        <x:v>Л.24, PDF 25</x:v>
      </x:c>
      <x:c r="K34" s="26" t="str">
        <x:v>Исходная строка РД; не масса смонтированной конструкции.</x:v>
      </x:c>
    </x:row>
    <x:row r="35" ht="46" customHeight="1">
      <x:c r="A35" s="22" t="str">
        <x:v>МУ 5</x:v>
      </x:c>
      <x:c r="B35" s="22" t="str"/>
      <x:c r="C35" s="22" t="str">
        <x:v>Профлист Н 75-750-0,8</x:v>
      </x:c>
      <x:c r="D35" s="22" t="str">
        <x:v>м²</x:v>
      </x:c>
      <x:c r="E35" s="85" t="n">
        <x:v>10.44</x:v>
      </x:c>
      <x:c r="F35" s="86" t="n">
        <x:v>1</x:v>
      </x:c>
      <x:c r="G35" s="85" t="n">
        <x:f>E35*F35</x:f>
        <x:v>10.44</x:v>
      </x:c>
      <x:c r="H35" s="85"/>
      <x:c r="I35" s="85" t="str">
        <x:f>IF(H35="","",G35*H35)</x:f>
      </x:c>
      <x:c r="J35" s="22" t="str">
        <x:v>Л.24, PDF 25</x:v>
      </x:c>
      <x:c r="K35" s="22" t="str">
        <x:v>Исходная строка РД; не масса смонтированной конструкции.</x:v>
      </x:c>
    </x:row>
    <x:row r="36" ht="46" customHeight="1">
      <x:c r="A36" s="26" t="str">
        <x:v>МУ 6</x:v>
      </x:c>
      <x:c r="B36" s="26" t="str">
        <x:v>Б 1</x:v>
      </x:c>
      <x:c r="C36" s="26" t="str">
        <x:v>Балка металлическая Б 1</x:v>
      </x:c>
      <x:c r="D36" s="26" t="str">
        <x:v>шт.</x:v>
      </x:c>
      <x:c r="E36" s="83" t="n">
        <x:v>2</x:v>
      </x:c>
      <x:c r="F36" s="84" t="n">
        <x:v>1</x:v>
      </x:c>
      <x:c r="G36" s="83" t="n">
        <x:f>E36*F36</x:f>
        <x:v>2</x:v>
      </x:c>
      <x:c r="H36" s="83"/>
      <x:c r="I36" s="83" t="str">
        <x:f>IF(H36="","",G36*H36)</x:f>
      </x:c>
      <x:c r="J36" s="26" t="str">
        <x:v>Л.25, PDF 26</x:v>
      </x:c>
      <x:c r="K36" s="26" t="str">
        <x:v>Сборка Б1. Состав/масса только на вкладке 04; здесь массу не суммировать.</x:v>
      </x:c>
    </x:row>
    <x:row r="37" ht="46" customHeight="1">
      <x:c r="A37" s="22" t="str">
        <x:v>МУ 6</x:v>
      </x:c>
      <x:c r="B37" s="22" t="str">
        <x:v>3</x:v>
      </x:c>
      <x:c r="C37" s="22" t="str">
        <x:v>12- А 500 С , L =5740</x:v>
      </x:c>
      <x:c r="D37" s="22" t="str">
        <x:v>шт.</x:v>
      </x:c>
      <x:c r="E37" s="85" t="n">
        <x:v>10</x:v>
      </x:c>
      <x:c r="F37" s="86" t="n">
        <x:v>1</x:v>
      </x:c>
      <x:c r="G37" s="85" t="n">
        <x:f>E37*F37</x:f>
        <x:v>10</x:v>
      </x:c>
      <x:c r="H37" s="85" t="n">
        <x:v>5.1</x:v>
      </x:c>
      <x:c r="I37" s="85" t="n">
        <x:f>IF(H37="","",G37*H37)</x:f>
        <x:v>51</x:v>
      </x:c>
      <x:c r="J37" s="22" t="str">
        <x:v>Л.25, PDF 26</x:v>
      </x:c>
      <x:c r="K37" s="22" t="str">
        <x:v>Исходная строка РД; не масса смонтированной конструкции.</x:v>
      </x:c>
    </x:row>
    <x:row r="38" ht="46" customHeight="1">
      <x:c r="A38" s="26" t="str">
        <x:v>МУ 6</x:v>
      </x:c>
      <x:c r="B38" s="26" t="str">
        <x:v>КР 1</x:v>
      </x:c>
      <x:c r="C38" s="26" t="str">
        <x:v>Каркас КР 1</x:v>
      </x:c>
      <x:c r="D38" s="26" t="str">
        <x:v>шт.</x:v>
      </x:c>
      <x:c r="E38" s="83" t="n">
        <x:v>31</x:v>
      </x:c>
      <x:c r="F38" s="84" t="n">
        <x:v>1</x:v>
      </x:c>
      <x:c r="G38" s="83" t="n">
        <x:f>E38*F38</x:f>
        <x:v>31</x:v>
      </x:c>
      <x:c r="H38" s="83"/>
      <x:c r="I38" s="83" t="str">
        <x:f>IF(H38="","",G38*H38)</x:f>
      </x:c>
      <x:c r="J38" s="26" t="str">
        <x:v>Л.25, PDF 26</x:v>
      </x:c>
      <x:c r="K38" s="26" t="str">
        <x:v>В РД; полная пространственная раскладка не смоделирована.</x:v>
      </x:c>
    </x:row>
    <x:row r="39" ht="46" customHeight="1">
      <x:c r="A39" s="22" t="str">
        <x:v>МУ 6</x:v>
      </x:c>
      <x:c r="B39" s="22" t="str">
        <x:v>1</x:v>
      </x:c>
      <x:c r="C39" s="22" t="str">
        <x:v>Уголок 75х5ГОСТ 8509-93 С245 ГОСТ 27772-2015 L=1750</x:v>
      </x:c>
      <x:c r="D39" s="22" t="str">
        <x:v>шт.</x:v>
      </x:c>
      <x:c r="E39" s="85" t="n">
        <x:v>2</x:v>
      </x:c>
      <x:c r="F39" s="86" t="n">
        <x:v>1</x:v>
      </x:c>
      <x:c r="G39" s="85" t="n">
        <x:f>E39*F39</x:f>
        <x:v>2</x:v>
      </x:c>
      <x:c r="H39" s="85" t="n">
        <x:v>10.15</x:v>
      </x:c>
      <x:c r="I39" s="85" t="n">
        <x:f>IF(H39="","",G39*H39)</x:f>
        <x:v>20.3</x:v>
      </x:c>
      <x:c r="J39" s="22" t="str">
        <x:v>Л.25, PDF 26</x:v>
      </x:c>
      <x:c r="K39" s="22" t="str">
        <x:v>Геометрия частичная; контроль по вкладке 07.</x:v>
      </x:c>
    </x:row>
    <x:row r="40" ht="46" customHeight="1">
      <x:c r="A40" s="26" t="str">
        <x:v>МУ 6</x:v>
      </x:c>
      <x:c r="B40" s="26" t="str">
        <x:v>2</x:v>
      </x:c>
      <x:c r="C40" s="26" t="str">
        <x:v>Уголок 75х5ГОСТ 8509-93 С245 ГОСТ 27772-2015 L=1500</x:v>
      </x:c>
      <x:c r="D40" s="26" t="str">
        <x:v>шт.</x:v>
      </x:c>
      <x:c r="E40" s="83" t="n">
        <x:v>2</x:v>
      </x:c>
      <x:c r="F40" s="84" t="n">
        <x:v>1</x:v>
      </x:c>
      <x:c r="G40" s="83" t="n">
        <x:f>E40*F40</x:f>
        <x:v>2</x:v>
      </x:c>
      <x:c r="H40" s="83" t="n">
        <x:v>8.7</x:v>
      </x:c>
      <x:c r="I40" s="83" t="n">
        <x:f>IF(H40="","",G40*H40)</x:f>
        <x:v>17.4</x:v>
      </x:c>
      <x:c r="J40" s="26" t="str">
        <x:v>Л.25, PDF 26</x:v>
      </x:c>
      <x:c r="K40" s="26" t="str">
        <x:v>Геометрия частичная; контроль по вкладке 07.</x:v>
      </x:c>
    </x:row>
    <x:row r="41" ht="46" customHeight="1">
      <x:c r="A41" s="22" t="str">
        <x:v>МУ 6</x:v>
      </x:c>
      <x:c r="B41" s="22" t="str"/>
      <x:c r="C41" s="22" t="str">
        <x:v>Бетон В 20</x:v>
      </x:c>
      <x:c r="D41" s="22" t="str">
        <x:v>м³</x:v>
      </x:c>
      <x:c r="E41" s="85" t="n">
        <x:v>2.01</x:v>
      </x:c>
      <x:c r="F41" s="86" t="n">
        <x:v>1</x:v>
      </x:c>
      <x:c r="G41" s="85" t="n">
        <x:f>E41*F41</x:f>
        <x:v>2.01</x:v>
      </x:c>
      <x:c r="H41" s="85"/>
      <x:c r="I41" s="85" t="str">
        <x:f>IF(H41="","",G41*H41)</x:f>
      </x:c>
      <x:c r="J41" s="22" t="str">
        <x:v>Л.25, PDF 26</x:v>
      </x:c>
      <x:c r="K41" s="22" t="str">
        <x:v>Исходная строка РД; не масса смонтированной конструкции.</x:v>
      </x:c>
    </x:row>
    <x:row r="42" ht="46" customHeight="1">
      <x:c r="A42" s="26" t="str">
        <x:v>МУ 6</x:v>
      </x:c>
      <x:c r="B42" s="26" t="str"/>
      <x:c r="C42" s="26" t="str">
        <x:v>Профлист Н 75-750-0,8</x:v>
      </x:c>
      <x:c r="D42" s="26" t="str">
        <x:v>м²</x:v>
      </x:c>
      <x:c r="E42" s="83" t="n">
        <x:v>9.54</x:v>
      </x:c>
      <x:c r="F42" s="84" t="n">
        <x:v>1</x:v>
      </x:c>
      <x:c r="G42" s="83" t="n">
        <x:f>E42*F42</x:f>
        <x:v>9.54</x:v>
      </x:c>
      <x:c r="H42" s="83"/>
      <x:c r="I42" s="83" t="str">
        <x:f>IF(H42="","",G42*H42)</x:f>
      </x:c>
      <x:c r="J42" s="26" t="str">
        <x:v>Л.25, PDF 26</x:v>
      </x:c>
      <x:c r="K42" s="26" t="str">
        <x:v>Исходная строка РД; не масса смонтированной конструкции.</x:v>
      </x:c>
    </x:row>
    <x:row r="43" ht="46" customHeight="1">
      <x:c r="A43" s="22" t="str">
        <x:v>МУ 7</x:v>
      </x:c>
      <x:c r="B43" s="22" t="str">
        <x:v>Б 1</x:v>
      </x:c>
      <x:c r="C43" s="22" t="str">
        <x:v>Балка металлическая Б 1</x:v>
      </x:c>
      <x:c r="D43" s="22" t="str">
        <x:v>шт.</x:v>
      </x:c>
      <x:c r="E43" s="85" t="n">
        <x:v>2</x:v>
      </x:c>
      <x:c r="F43" s="86" t="n">
        <x:v>1</x:v>
      </x:c>
      <x:c r="G43" s="85" t="n">
        <x:f>E43*F43</x:f>
        <x:v>2</x:v>
      </x:c>
      <x:c r="H43" s="85"/>
      <x:c r="I43" s="85" t="str">
        <x:f>IF(H43="","",G43*H43)</x:f>
      </x:c>
      <x:c r="J43" s="22" t="str">
        <x:v>Л.25, PDF 26</x:v>
      </x:c>
      <x:c r="K43" s="22" t="str">
        <x:v>Сборка Б1. Состав/масса только на вкладке 04; здесь массу не суммировать.</x:v>
      </x:c>
    </x:row>
    <x:row r="44" ht="46" customHeight="1">
      <x:c r="A44" s="26" t="str">
        <x:v>МУ 7</x:v>
      </x:c>
      <x:c r="B44" s="26" t="str">
        <x:v>6</x:v>
      </x:c>
      <x:c r="C44" s="26" t="str">
        <x:v>12- А 500 С , L =5740</x:v>
      </x:c>
      <x:c r="D44" s="26" t="str">
        <x:v>шт.</x:v>
      </x:c>
      <x:c r="E44" s="83" t="n">
        <x:v>10</x:v>
      </x:c>
      <x:c r="F44" s="84" t="n">
        <x:v>1</x:v>
      </x:c>
      <x:c r="G44" s="83" t="n">
        <x:f>E44*F44</x:f>
        <x:v>10</x:v>
      </x:c>
      <x:c r="H44" s="83" t="n">
        <x:v>5.1</x:v>
      </x:c>
      <x:c r="I44" s="83" t="n">
        <x:f>IF(H44="","",G44*H44)</x:f>
        <x:v>51</x:v>
      </x:c>
      <x:c r="J44" s="26" t="str">
        <x:v>Л.25, PDF 26</x:v>
      </x:c>
      <x:c r="K44" s="26" t="str">
        <x:v>Исходная строка РД; не масса смонтированной конструкции.</x:v>
      </x:c>
    </x:row>
    <x:row r="45" ht="46" customHeight="1">
      <x:c r="A45" s="22" t="str">
        <x:v>МУ 7</x:v>
      </x:c>
      <x:c r="B45" s="22" t="str">
        <x:v>КР 1</x:v>
      </x:c>
      <x:c r="C45" s="22" t="str">
        <x:v>Каркас КР 1</x:v>
      </x:c>
      <x:c r="D45" s="22" t="str">
        <x:v>шт.</x:v>
      </x:c>
      <x:c r="E45" s="85" t="n">
        <x:v>31</x:v>
      </x:c>
      <x:c r="F45" s="86" t="n">
        <x:v>1</x:v>
      </x:c>
      <x:c r="G45" s="85" t="n">
        <x:f>E45*F45</x:f>
        <x:v>31</x:v>
      </x:c>
      <x:c r="H45" s="85"/>
      <x:c r="I45" s="85" t="str">
        <x:f>IF(H45="","",G45*H45)</x:f>
      </x:c>
      <x:c r="J45" s="22" t="str">
        <x:v>Л.25, PDF 26</x:v>
      </x:c>
      <x:c r="K45" s="22" t="str">
        <x:v>В РД; полная пространственная раскладка не смоделирована.</x:v>
      </x:c>
    </x:row>
    <x:row r="46" ht="46" customHeight="1">
      <x:c r="A46" s="26" t="str">
        <x:v>МУ 7</x:v>
      </x:c>
      <x:c r="B46" s="26" t="str">
        <x:v>4</x:v>
      </x:c>
      <x:c r="C46" s="26" t="str">
        <x:v>Уголок 75х5ГОСТ 8509-93 С245 ГОСТ 27772-2015 L=1750</x:v>
      </x:c>
      <x:c r="D46" s="26" t="str">
        <x:v>шт.</x:v>
      </x:c>
      <x:c r="E46" s="83" t="n">
        <x:v>2</x:v>
      </x:c>
      <x:c r="F46" s="84" t="n">
        <x:v>1</x:v>
      </x:c>
      <x:c r="G46" s="83" t="n">
        <x:f>E46*F46</x:f>
        <x:v>2</x:v>
      </x:c>
      <x:c r="H46" s="83" t="n">
        <x:v>10.15</x:v>
      </x:c>
      <x:c r="I46" s="83" t="n">
        <x:f>IF(H46="","",G46*H46)</x:f>
        <x:v>20.3</x:v>
      </x:c>
      <x:c r="J46" s="26" t="str">
        <x:v>Л.25, PDF 26</x:v>
      </x:c>
      <x:c r="K46" s="26" t="str">
        <x:v>Геометрия частичная; контроль по вкладке 07.</x:v>
      </x:c>
    </x:row>
    <x:row r="47" ht="46" customHeight="1">
      <x:c r="A47" s="22" t="str">
        <x:v>МУ 7</x:v>
      </x:c>
      <x:c r="B47" s="22" t="str">
        <x:v>5</x:v>
      </x:c>
      <x:c r="C47" s="22" t="str">
        <x:v>Уголок 75х5ГОСТ 8509-93 С245 ГОСТ 27772-2015 L=700</x:v>
      </x:c>
      <x:c r="D47" s="22" t="str">
        <x:v>шт.</x:v>
      </x:c>
      <x:c r="E47" s="85" t="n">
        <x:v>2</x:v>
      </x:c>
      <x:c r="F47" s="86" t="n">
        <x:v>1</x:v>
      </x:c>
      <x:c r="G47" s="85" t="n">
        <x:f>E47*F47</x:f>
        <x:v>2</x:v>
      </x:c>
      <x:c r="H47" s="85" t="n">
        <x:v>4.06</x:v>
      </x:c>
      <x:c r="I47" s="85" t="n">
        <x:f>IF(H47="","",G47*H47)</x:f>
        <x:v>8.12</x:v>
      </x:c>
      <x:c r="J47" s="22" t="str">
        <x:v>Л.25, PDF 26</x:v>
      </x:c>
      <x:c r="K47" s="22" t="str">
        <x:v>Геометрия частичная; контроль по вкладке 07.</x:v>
      </x:c>
    </x:row>
    <x:row r="48" ht="46" customHeight="1">
      <x:c r="A48" s="26" t="str">
        <x:v>МУ 7</x:v>
      </x:c>
      <x:c r="B48" s="26" t="str"/>
      <x:c r="C48" s="26" t="str">
        <x:v>Бетон В 20</x:v>
      </x:c>
      <x:c r="D48" s="26" t="str">
        <x:v>м³</x:v>
      </x:c>
      <x:c r="E48" s="83" t="n">
        <x:v>2.14</x:v>
      </x:c>
      <x:c r="F48" s="84" t="n">
        <x:v>1</x:v>
      </x:c>
      <x:c r="G48" s="83" t="n">
        <x:f>E48*F48</x:f>
        <x:v>2.14</x:v>
      </x:c>
      <x:c r="H48" s="83"/>
      <x:c r="I48" s="83" t="str">
        <x:f>IF(H48="","",G48*H48)</x:f>
      </x:c>
      <x:c r="J48" s="26" t="str">
        <x:v>Л.25, PDF 26</x:v>
      </x:c>
      <x:c r="K48" s="26" t="str">
        <x:v>Исходная строка РД; не масса смонтированной конструкции.</x:v>
      </x:c>
    </x:row>
    <x:row r="49" ht="46" customHeight="1">
      <x:c r="A49" s="22" t="str">
        <x:v>МУ 7</x:v>
      </x:c>
      <x:c r="B49" s="22" t="str"/>
      <x:c r="C49" s="22" t="str">
        <x:v>Профлист Н 75-750-0,8</x:v>
      </x:c>
      <x:c r="D49" s="22" t="str">
        <x:v>м²</x:v>
      </x:c>
      <x:c r="E49" s="85" t="n">
        <x:v>10.16</x:v>
      </x:c>
      <x:c r="F49" s="86" t="n">
        <x:v>1</x:v>
      </x:c>
      <x:c r="G49" s="85" t="n">
        <x:f>E49*F49</x:f>
        <x:v>10.16</x:v>
      </x:c>
      <x:c r="H49" s="85"/>
      <x:c r="I49" s="85" t="str">
        <x:f>IF(H49="","",G49*H49)</x:f>
      </x:c>
      <x:c r="J49" s="22" t="str">
        <x:v>Л.25, PDF 26</x:v>
      </x:c>
      <x:c r="K49" s="22" t="str">
        <x:v>Исходная строка РД; не масса смонтированной конструкции.</x:v>
      </x:c>
    </x:row>
    <x:row r="50" ht="46" customHeight="1">
      <x:c r="A50" s="26" t="str">
        <x:v>МУ 8</x:v>
      </x:c>
      <x:c r="B50" s="26" t="str">
        <x:v>1</x:v>
      </x:c>
      <x:c r="C50" s="26" t="str">
        <x:v>16 - А 500 С , м.п</x:v>
      </x:c>
      <x:c r="D50" s="26" t="str">
        <x:v>п.м</x:v>
      </x:c>
      <x:c r="E50" s="83" t="n">
        <x:v>27.5</x:v>
      </x:c>
      <x:c r="F50" s="84" t="n">
        <x:v>1</x:v>
      </x:c>
      <x:c r="G50" s="83" t="n">
        <x:f>E50*F50</x:f>
        <x:v>27.5</x:v>
      </x:c>
      <x:c r="H50" s="83" t="n">
        <x:v>1.578</x:v>
      </x:c>
      <x:c r="I50" s="83" t="n">
        <x:f>IF(H50="","",G50*H50)</x:f>
        <x:v>43.395</x:v>
      </x:c>
      <x:c r="J50" s="26" t="str">
        <x:v>Л.26, PDF 27</x:v>
      </x:c>
      <x:c r="K50" s="26" t="str">
        <x:v>Исходная строка РД; не масса смонтированной конструкции.</x:v>
      </x:c>
    </x:row>
    <x:row r="51" ht="46" customHeight="1">
      <x:c r="A51" s="22" t="str">
        <x:v>МУ 8</x:v>
      </x:c>
      <x:c r="B51" s="22" t="str">
        <x:v>2</x:v>
      </x:c>
      <x:c r="C51" s="22" t="str">
        <x:v>12 - А 500 С , L = 1050</x:v>
      </x:c>
      <x:c r="D51" s="22" t="str">
        <x:v>шт.</x:v>
      </x:c>
      <x:c r="E51" s="85" t="n">
        <x:v>30</x:v>
      </x:c>
      <x:c r="F51" s="86" t="n">
        <x:v>1</x:v>
      </x:c>
      <x:c r="G51" s="85" t="n">
        <x:f>E51*F51</x:f>
        <x:v>30</x:v>
      </x:c>
      <x:c r="H51" s="85" t="n">
        <x:v>0.932</x:v>
      </x:c>
      <x:c r="I51" s="85" t="n">
        <x:f>IF(H51="","",G51*H51)</x:f>
        <x:v>27.96</x:v>
      </x:c>
      <x:c r="J51" s="22" t="str">
        <x:v>Л.26, PDF 27</x:v>
      </x:c>
      <x:c r="K51" s="22" t="str">
        <x:v>Исходная строка РД; не масса смонтированной конструкции.</x:v>
      </x:c>
    </x:row>
    <x:row r="52" ht="46" customHeight="1">
      <x:c r="A52" s="26" t="str">
        <x:v>МУ 8</x:v>
      </x:c>
      <x:c r="B52" s="26" t="str">
        <x:v>П 1</x:v>
      </x:c>
      <x:c r="C52" s="26" t="str">
        <x:v>12- А 500 С , L =1315</x:v>
      </x:c>
      <x:c r="D52" s="26" t="str">
        <x:v>шт.</x:v>
      </x:c>
      <x:c r="E52" s="83" t="n">
        <x:v>10</x:v>
      </x:c>
      <x:c r="F52" s="84" t="n">
        <x:v>1</x:v>
      </x:c>
      <x:c r="G52" s="83" t="n">
        <x:f>E52*F52</x:f>
        <x:v>10</x:v>
      </x:c>
      <x:c r="H52" s="83" t="n">
        <x:v>1.17</x:v>
      </x:c>
      <x:c r="I52" s="83" t="n">
        <x:f>IF(H52="","",G52*H52)</x:f>
        <x:v>11.7</x:v>
      </x:c>
      <x:c r="J52" s="26" t="str">
        <x:v>Л.26, PDF 27</x:v>
      </x:c>
      <x:c r="K52" s="26" t="str">
        <x:v>Исходная строка РД; не масса смонтированной конструкции.</x:v>
      </x:c>
    </x:row>
    <x:row r="53" ht="46" customHeight="1">
      <x:c r="A53" s="22" t="str">
        <x:v>МУ 8</x:v>
      </x:c>
      <x:c r="B53" s="22" t="str">
        <x:v>Ф 1</x:v>
      </x:c>
      <x:c r="C53" s="22" t="str">
        <x:v>10- А 500 С , L =1030</x:v>
      </x:c>
      <x:c r="D53" s="22" t="str">
        <x:v>шт.</x:v>
      </x:c>
      <x:c r="E53" s="85" t="n">
        <x:v>3</x:v>
      </x:c>
      <x:c r="F53" s="86" t="n">
        <x:v>1</x:v>
      </x:c>
      <x:c r="G53" s="85" t="n">
        <x:f>E53*F53</x:f>
        <x:v>3</x:v>
      </x:c>
      <x:c r="H53" s="85" t="n">
        <x:v>0.64</x:v>
      </x:c>
      <x:c r="I53" s="85" t="n">
        <x:f>IF(H53="","",G53*H53)</x:f>
        <x:v>1.92</x:v>
      </x:c>
      <x:c r="J53" s="22" t="str">
        <x:v>Л.26, PDF 27</x:v>
      </x:c>
      <x:c r="K53" s="22" t="str">
        <x:v>Исходная строка РД; не масса смонтированной конструкции.</x:v>
      </x:c>
    </x:row>
    <x:row r="54" ht="46" customHeight="1">
      <x:c r="A54" s="26" t="str">
        <x:v>МУ 8</x:v>
      </x:c>
      <x:c r="B54" s="26" t="str"/>
      <x:c r="C54" s="26" t="str">
        <x:v>Бетон В 20</x:v>
      </x:c>
      <x:c r="D54" s="26" t="str">
        <x:v>м³</x:v>
      </x:c>
      <x:c r="E54" s="83" t="n">
        <x:v>0.31</x:v>
      </x:c>
      <x:c r="F54" s="84" t="n">
        <x:v>1</x:v>
      </x:c>
      <x:c r="G54" s="83" t="n">
        <x:f>E54*F54</x:f>
        <x:v>0.31</x:v>
      </x:c>
      <x:c r="H54" s="83"/>
      <x:c r="I54" s="83" t="str">
        <x:f>IF(H54="","",G54*H54)</x:f>
      </x:c>
      <x:c r="J54" s="26" t="str">
        <x:v>Л.26, PDF 27</x:v>
      </x:c>
      <x:c r="K54" s="26" t="str">
        <x:v>Исходная строка РД; не масса смонтированной конструкции.</x:v>
      </x:c>
    </x:row>
    <x:row r="55" ht="46" customHeight="1">
      <x:c r="A55" s="22" t="str">
        <x:v>МУ 9</x:v>
      </x:c>
      <x:c r="B55" s="22" t="str">
        <x:v>Б 1</x:v>
      </x:c>
      <x:c r="C55" s="22" t="str">
        <x:v>Балка металлическая Б 1</x:v>
      </x:c>
      <x:c r="D55" s="22" t="str">
        <x:v>шт.</x:v>
      </x:c>
      <x:c r="E55" s="85" t="n">
        <x:v>2</x:v>
      </x:c>
      <x:c r="F55" s="86" t="n">
        <x:v>1</x:v>
      </x:c>
      <x:c r="G55" s="85" t="n">
        <x:f>E55*F55</x:f>
        <x:v>2</x:v>
      </x:c>
      <x:c r="H55" s="85"/>
      <x:c r="I55" s="85" t="str">
        <x:f>IF(H55="","",G55*H55)</x:f>
      </x:c>
      <x:c r="J55" s="22" t="str">
        <x:v>Л.26, PDF 27</x:v>
      </x:c>
      <x:c r="K55" s="22" t="str">
        <x:v>Сборка Б1. Состав/масса только на вкладке 04; здесь массу не суммировать.</x:v>
      </x:c>
    </x:row>
    <x:row r="56" ht="46" customHeight="1">
      <x:c r="A56" s="26" t="str">
        <x:v>МУ 9</x:v>
      </x:c>
      <x:c r="B56" s="26" t="str">
        <x:v>3</x:v>
      </x:c>
      <x:c r="C56" s="26" t="str">
        <x:v>12- А 500 С , L =5740</x:v>
      </x:c>
      <x:c r="D56" s="26" t="str">
        <x:v>шт.</x:v>
      </x:c>
      <x:c r="E56" s="83" t="n">
        <x:v>10</x:v>
      </x:c>
      <x:c r="F56" s="84" t="n">
        <x:v>1</x:v>
      </x:c>
      <x:c r="G56" s="83" t="n">
        <x:f>E56*F56</x:f>
        <x:v>10</x:v>
      </x:c>
      <x:c r="H56" s="83" t="n">
        <x:v>5.1</x:v>
      </x:c>
      <x:c r="I56" s="83" t="n">
        <x:f>IF(H56="","",G56*H56)</x:f>
        <x:v>51</x:v>
      </x:c>
      <x:c r="J56" s="26" t="str">
        <x:v>Л.26, PDF 27</x:v>
      </x:c>
      <x:c r="K56" s="26" t="str">
        <x:v>Исходная строка РД; не масса смонтированной конструкции.</x:v>
      </x:c>
    </x:row>
    <x:row r="57" ht="46" customHeight="1">
      <x:c r="A57" s="22" t="str">
        <x:v>МУ 9</x:v>
      </x:c>
      <x:c r="B57" s="22" t="str">
        <x:v>КР 1</x:v>
      </x:c>
      <x:c r="C57" s="22" t="str">
        <x:v>Каркас КР 1</x:v>
      </x:c>
      <x:c r="D57" s="22" t="str">
        <x:v>шт.</x:v>
      </x:c>
      <x:c r="E57" s="85" t="n">
        <x:v>31</x:v>
      </x:c>
      <x:c r="F57" s="86" t="n">
        <x:v>1</x:v>
      </x:c>
      <x:c r="G57" s="85" t="n">
        <x:f>E57*F57</x:f>
        <x:v>31</x:v>
      </x:c>
      <x:c r="H57" s="85"/>
      <x:c r="I57" s="85" t="str">
        <x:f>IF(H57="","",G57*H57)</x:f>
      </x:c>
      <x:c r="J57" s="22" t="str">
        <x:v>Л.26, PDF 27</x:v>
      </x:c>
      <x:c r="K57" s="22" t="str">
        <x:v>В РД; полная пространственная раскладка не смоделирована.</x:v>
      </x:c>
    </x:row>
    <x:row r="58" ht="46" customHeight="1">
      <x:c r="A58" s="26" t="str">
        <x:v>МУ 9</x:v>
      </x:c>
      <x:c r="B58" s="26" t="str"/>
      <x:c r="C58" s="26" t="str">
        <x:v>Бетон В 20</x:v>
      </x:c>
      <x:c r="D58" s="26" t="str">
        <x:v>м³</x:v>
      </x:c>
      <x:c r="E58" s="83" t="n">
        <x:v>1.75</x:v>
      </x:c>
      <x:c r="F58" s="84" t="n">
        <x:v>1</x:v>
      </x:c>
      <x:c r="G58" s="83" t="n">
        <x:f>E58*F58</x:f>
        <x:v>1.75</x:v>
      </x:c>
      <x:c r="H58" s="83"/>
      <x:c r="I58" s="83" t="str">
        <x:f>IF(H58="","",G58*H58)</x:f>
      </x:c>
      <x:c r="J58" s="26" t="str">
        <x:v>Л.26, PDF 27</x:v>
      </x:c>
      <x:c r="K58" s="26" t="str">
        <x:v>Исходная строка РД; не масса смонтированной конструкции.</x:v>
      </x:c>
    </x:row>
    <x:row r="59" ht="46" customHeight="1">
      <x:c r="A59" s="22" t="str">
        <x:v>МУ 9</x:v>
      </x:c>
      <x:c r="B59" s="22" t="str"/>
      <x:c r="C59" s="22" t="str">
        <x:v>Профлист Н 75-750-0,8</x:v>
      </x:c>
      <x:c r="D59" s="22" t="str">
        <x:v>м²</x:v>
      </x:c>
      <x:c r="E59" s="85" t="n">
        <x:v>10.44</x:v>
      </x:c>
      <x:c r="F59" s="86" t="n">
        <x:v>1</x:v>
      </x:c>
      <x:c r="G59" s="85" t="n">
        <x:f>E59*F59</x:f>
        <x:v>10.44</x:v>
      </x:c>
      <x:c r="H59" s="85"/>
      <x:c r="I59" s="85" t="str">
        <x:f>IF(H59="","",G59*H59)</x:f>
      </x:c>
      <x:c r="J59" s="22" t="str">
        <x:v>Л.26, PDF 27</x:v>
      </x:c>
      <x:c r="K59" s="22" t="str">
        <x:v>Исходная строка РД; не масса смонтированной конструкции.</x:v>
      </x:c>
    </x:row>
    <x:row r="60" ht="46" customHeight="1">
      <x:c r="A60" s="26" t="str">
        <x:v>МУ 10</x:v>
      </x:c>
      <x:c r="B60" s="26" t="str">
        <x:v>Б 1</x:v>
      </x:c>
      <x:c r="C60" s="26" t="str">
        <x:v>Балка металлическая Б 1</x:v>
      </x:c>
      <x:c r="D60" s="26" t="str">
        <x:v>шт.</x:v>
      </x:c>
      <x:c r="E60" s="83" t="n">
        <x:v>2</x:v>
      </x:c>
      <x:c r="F60" s="84" t="n">
        <x:v>1</x:v>
      </x:c>
      <x:c r="G60" s="83" t="n">
        <x:f>E60*F60</x:f>
        <x:v>2</x:v>
      </x:c>
      <x:c r="H60" s="83"/>
      <x:c r="I60" s="83" t="str">
        <x:f>IF(H60="","",G60*H60)</x:f>
      </x:c>
      <x:c r="J60" s="26" t="str">
        <x:v>Л.26, PDF 27</x:v>
      </x:c>
      <x:c r="K60" s="26" t="str">
        <x:v>Сборка Б1. Состав/масса только на вкладке 04; здесь массу не суммировать.</x:v>
      </x:c>
    </x:row>
    <x:row r="61" ht="46" customHeight="1">
      <x:c r="A61" s="22" t="str">
        <x:v>МУ 10</x:v>
      </x:c>
      <x:c r="B61" s="22" t="str">
        <x:v>4</x:v>
      </x:c>
      <x:c r="C61" s="22" t="str">
        <x:v>12- А 500 С , L =5740</x:v>
      </x:c>
      <x:c r="D61" s="22" t="str">
        <x:v>шт.</x:v>
      </x:c>
      <x:c r="E61" s="85" t="n">
        <x:v>10</x:v>
      </x:c>
      <x:c r="F61" s="86" t="n">
        <x:v>1</x:v>
      </x:c>
      <x:c r="G61" s="85" t="n">
        <x:f>E61*F61</x:f>
        <x:v>10</x:v>
      </x:c>
      <x:c r="H61" s="85" t="n">
        <x:v>5.1</x:v>
      </x:c>
      <x:c r="I61" s="85" t="n">
        <x:f>IF(H61="","",G61*H61)</x:f>
        <x:v>51</x:v>
      </x:c>
      <x:c r="J61" s="22" t="str">
        <x:v>Л.26, PDF 27</x:v>
      </x:c>
      <x:c r="K61" s="22" t="str">
        <x:v>Исходная строка РД; не масса смонтированной конструкции.</x:v>
      </x:c>
    </x:row>
    <x:row r="62" ht="46" customHeight="1">
      <x:c r="A62" s="26" t="str">
        <x:v>МУ 10</x:v>
      </x:c>
      <x:c r="B62" s="26" t="str">
        <x:v>КР 1</x:v>
      </x:c>
      <x:c r="C62" s="26" t="str">
        <x:v>Каркас КР 1</x:v>
      </x:c>
      <x:c r="D62" s="26" t="str">
        <x:v>шт.</x:v>
      </x:c>
      <x:c r="E62" s="83" t="n">
        <x:v>31</x:v>
      </x:c>
      <x:c r="F62" s="84" t="n">
        <x:v>1</x:v>
      </x:c>
      <x:c r="G62" s="83" t="n">
        <x:f>E62*F62</x:f>
        <x:v>31</x:v>
      </x:c>
      <x:c r="H62" s="83"/>
      <x:c r="I62" s="83" t="str">
        <x:f>IF(H62="","",G62*H62)</x:f>
      </x:c>
      <x:c r="J62" s="26" t="str">
        <x:v>Л.26, PDF 27</x:v>
      </x:c>
      <x:c r="K62" s="26" t="str">
        <x:v>В РД; полная пространственная раскладка не смоделирована.</x:v>
      </x:c>
    </x:row>
    <x:row r="63" ht="46" customHeight="1">
      <x:c r="A63" s="22" t="str">
        <x:v>МУ 10</x:v>
      </x:c>
      <x:c r="B63" s="22" t="str"/>
      <x:c r="C63" s="22" t="str">
        <x:v>Бетон В 20</x:v>
      </x:c>
      <x:c r="D63" s="22" t="str">
        <x:v>м³</x:v>
      </x:c>
      <x:c r="E63" s="85" t="n">
        <x:v>1.75</x:v>
      </x:c>
      <x:c r="F63" s="86" t="n">
        <x:v>1</x:v>
      </x:c>
      <x:c r="G63" s="85" t="n">
        <x:f>E63*F63</x:f>
        <x:v>1.75</x:v>
      </x:c>
      <x:c r="H63" s="85"/>
      <x:c r="I63" s="85" t="str">
        <x:f>IF(H63="","",G63*H63)</x:f>
      </x:c>
      <x:c r="J63" s="22" t="str">
        <x:v>Л.26, PDF 27</x:v>
      </x:c>
      <x:c r="K63" s="22" t="str">
        <x:v>Исходная строка РД; не масса смонтированной конструкции.</x:v>
      </x:c>
    </x:row>
    <x:row r="64" ht="46" customHeight="1">
      <x:c r="A64" s="26" t="str">
        <x:v>МУ 10</x:v>
      </x:c>
      <x:c r="B64" s="26" t="str"/>
      <x:c r="C64" s="26" t="str">
        <x:v>Профлист Н 75-750-0,8</x:v>
      </x:c>
      <x:c r="D64" s="26" t="str">
        <x:v>м²</x:v>
      </x:c>
      <x:c r="E64" s="83" t="n">
        <x:v>10.44</x:v>
      </x:c>
      <x:c r="F64" s="84" t="n">
        <x:v>1</x:v>
      </x:c>
      <x:c r="G64" s="83" t="n">
        <x:f>E64*F64</x:f>
        <x:v>10.44</x:v>
      </x:c>
      <x:c r="H64" s="83"/>
      <x:c r="I64" s="83" t="str">
        <x:f>IF(H64="","",G64*H64)</x:f>
      </x:c>
      <x:c r="J64" s="26" t="str">
        <x:v>Л.26, PDF 27</x:v>
      </x:c>
      <x:c r="K64" s="26" t="str">
        <x:v>Исходная строка РД; не масса смонтированной конструкции.</x:v>
      </x:c>
    </x:row>
    <x:row r="65" ht="46" customHeight="1">
      <x:c r="A65" s="22" t="str">
        <x:v>МУ 11</x:v>
      </x:c>
      <x:c r="B65" s="22" t="str">
        <x:v>Б 1</x:v>
      </x:c>
      <x:c r="C65" s="22" t="str">
        <x:v>Балка металлическая Б 1</x:v>
      </x:c>
      <x:c r="D65" s="22" t="str">
        <x:v>шт.</x:v>
      </x:c>
      <x:c r="E65" s="85" t="n">
        <x:v>2</x:v>
      </x:c>
      <x:c r="F65" s="86" t="n">
        <x:v>1</x:v>
      </x:c>
      <x:c r="G65" s="85" t="n">
        <x:f>E65*F65</x:f>
        <x:v>2</x:v>
      </x:c>
      <x:c r="H65" s="85"/>
      <x:c r="I65" s="85" t="str">
        <x:f>IF(H65="","",G65*H65)</x:f>
      </x:c>
      <x:c r="J65" s="22" t="str">
        <x:v>Л.27, PDF 28</x:v>
      </x:c>
      <x:c r="K65" s="22" t="str">
        <x:v>Сборка Б1. Состав/масса только на вкладке 04; здесь массу не суммировать.</x:v>
      </x:c>
    </x:row>
    <x:row r="66" ht="46" customHeight="1">
      <x:c r="A66" s="26" t="str">
        <x:v>МУ 11</x:v>
      </x:c>
      <x:c r="B66" s="26" t="str">
        <x:v>4</x:v>
      </x:c>
      <x:c r="C66" s="26" t="str">
        <x:v>12- А 500 С , L =5740</x:v>
      </x:c>
      <x:c r="D66" s="26" t="str">
        <x:v>шт.</x:v>
      </x:c>
      <x:c r="E66" s="83" t="n">
        <x:v>10</x:v>
      </x:c>
      <x:c r="F66" s="84" t="n">
        <x:v>1</x:v>
      </x:c>
      <x:c r="G66" s="83" t="n">
        <x:f>E66*F66</x:f>
        <x:v>10</x:v>
      </x:c>
      <x:c r="H66" s="83" t="n">
        <x:v>5.1</x:v>
      </x:c>
      <x:c r="I66" s="83" t="n">
        <x:f>IF(H66="","",G66*H66)</x:f>
        <x:v>51</x:v>
      </x:c>
      <x:c r="J66" s="26" t="str">
        <x:v>Л.27, PDF 28</x:v>
      </x:c>
      <x:c r="K66" s="26" t="str">
        <x:v>Исходная строка РД; не масса смонтированной конструкции.</x:v>
      </x:c>
    </x:row>
    <x:row r="67" ht="46" customHeight="1">
      <x:c r="A67" s="22" t="str">
        <x:v>МУ 11</x:v>
      </x:c>
      <x:c r="B67" s="22" t="str">
        <x:v>КР 6</x:v>
      </x:c>
      <x:c r="C67" s="22" t="str">
        <x:v>Каркас КР 6</x:v>
      </x:c>
      <x:c r="D67" s="22" t="str">
        <x:v>шт.</x:v>
      </x:c>
      <x:c r="E67" s="85" t="n">
        <x:v>31</x:v>
      </x:c>
      <x:c r="F67" s="86" t="n">
        <x:v>1</x:v>
      </x:c>
      <x:c r="G67" s="85" t="n">
        <x:f>E67*F67</x:f>
        <x:v>31</x:v>
      </x:c>
      <x:c r="H67" s="85"/>
      <x:c r="I67" s="85" t="str">
        <x:f>IF(H67="","",G67*H67)</x:f>
      </x:c>
      <x:c r="J67" s="22" t="str">
        <x:v>Л.27, PDF 28</x:v>
      </x:c>
      <x:c r="K67" s="22" t="str">
        <x:v>В РД; полная пространственная раскладка не смоделирована.</x:v>
      </x:c>
    </x:row>
    <x:row r="68" ht="46" customHeight="1">
      <x:c r="A68" s="26" t="str">
        <x:v>МУ 11</x:v>
      </x:c>
      <x:c r="B68" s="26" t="str">
        <x:v>1</x:v>
      </x:c>
      <x:c r="C68" s="26" t="str">
        <x:v>Уголок 75х5ГОСТ 8509-93 С245 ГОСТ 27772-2015 L=1100</x:v>
      </x:c>
      <x:c r="D68" s="26" t="str">
        <x:v>шт.</x:v>
      </x:c>
      <x:c r="E68" s="83" t="n">
        <x:v>3</x:v>
      </x:c>
      <x:c r="F68" s="84" t="n">
        <x:v>1</x:v>
      </x:c>
      <x:c r="G68" s="83" t="n">
        <x:f>E68*F68</x:f>
        <x:v>3</x:v>
      </x:c>
      <x:c r="H68" s="83" t="n">
        <x:v>6.38</x:v>
      </x:c>
      <x:c r="I68" s="83" t="n">
        <x:f>IF(H68="","",G68*H68)</x:f>
        <x:v>19.14</x:v>
      </x:c>
      <x:c r="J68" s="26" t="str">
        <x:v>Л.27, PDF 28</x:v>
      </x:c>
      <x:c r="K68" s="26" t="str">
        <x:v>Геометрия частичная; контроль по вкладке 07.</x:v>
      </x:c>
    </x:row>
    <x:row r="69" ht="46" customHeight="1">
      <x:c r="A69" s="22" t="str">
        <x:v>МУ 11</x:v>
      </x:c>
      <x:c r="B69" s="22" t="str">
        <x:v>2</x:v>
      </x:c>
      <x:c r="C69" s="22" t="str">
        <x:v>Уголок 75х5ГОСТ 8509-93 С245 ГОСТ 27772-2015 L=800</x:v>
      </x:c>
      <x:c r="D69" s="22" t="str">
        <x:v>шт.</x:v>
      </x:c>
      <x:c r="E69" s="85" t="n">
        <x:v>1</x:v>
      </x:c>
      <x:c r="F69" s="86" t="n">
        <x:v>1</x:v>
      </x:c>
      <x:c r="G69" s="85" t="n">
        <x:f>E69*F69</x:f>
        <x:v>1</x:v>
      </x:c>
      <x:c r="H69" s="85" t="n">
        <x:v>4.64</x:v>
      </x:c>
      <x:c r="I69" s="85" t="n">
        <x:f>IF(H69="","",G69*H69)</x:f>
        <x:v>4.64</x:v>
      </x:c>
      <x:c r="J69" s="22" t="str">
        <x:v>Л.27, PDF 28</x:v>
      </x:c>
      <x:c r="K69" s="22" t="str">
        <x:v>Геометрия частичная; контроль по вкладке 07.</x:v>
      </x:c>
    </x:row>
    <x:row r="70" ht="46" customHeight="1">
      <x:c r="A70" s="26" t="str">
        <x:v>МУ 11</x:v>
      </x:c>
      <x:c r="B70" s="26" t="str">
        <x:v>3</x:v>
      </x:c>
      <x:c r="C70" s="26" t="str">
        <x:v>Уголок 75х5ГОСТ 8509-93 С245 ГОСТ 27772-2015 L=370</x:v>
      </x:c>
      <x:c r="D70" s="26" t="str">
        <x:v>шт.</x:v>
      </x:c>
      <x:c r="E70" s="83" t="n">
        <x:v>2</x:v>
      </x:c>
      <x:c r="F70" s="84" t="n">
        <x:v>1</x:v>
      </x:c>
      <x:c r="G70" s="83" t="n">
        <x:f>E70*F70</x:f>
        <x:v>2</x:v>
      </x:c>
      <x:c r="H70" s="83" t="n">
        <x:v>2.15</x:v>
      </x:c>
      <x:c r="I70" s="83" t="n">
        <x:f>IF(H70="","",G70*H70)</x:f>
        <x:v>4.3</x:v>
      </x:c>
      <x:c r="J70" s="26" t="str">
        <x:v>Л.27, PDF 28</x:v>
      </x:c>
      <x:c r="K70" s="26" t="str">
        <x:v>Геометрия частичная; контроль по вкладке 07.</x:v>
      </x:c>
    </x:row>
    <x:row r="71" ht="46" customHeight="1">
      <x:c r="A71" s="22" t="str">
        <x:v>МУ 11</x:v>
      </x:c>
      <x:c r="B71" s="22" t="str"/>
      <x:c r="C71" s="22" t="str">
        <x:v>Бетон В 20</x:v>
      </x:c>
      <x:c r="D71" s="22" t="str">
        <x:v>м³</x:v>
      </x:c>
      <x:c r="E71" s="85" t="n">
        <x:v>1.1</x:v>
      </x:c>
      <x:c r="F71" s="86" t="n">
        <x:v>1</x:v>
      </x:c>
      <x:c r="G71" s="85" t="n">
        <x:f>E71*F71</x:f>
        <x:v>1.1</x:v>
      </x:c>
      <x:c r="H71" s="85"/>
      <x:c r="I71" s="85" t="str">
        <x:f>IF(H71="","",G71*H71)</x:f>
      </x:c>
      <x:c r="J71" s="22" t="str">
        <x:v>Л.27, PDF 28</x:v>
      </x:c>
      <x:c r="K71" s="22" t="str">
        <x:v>Исходная строка РД; не масса смонтированной конструкции.</x:v>
      </x:c>
    </x:row>
    <x:row r="72" ht="46" customHeight="1">
      <x:c r="A72" s="26" t="str">
        <x:v>МУ 11</x:v>
      </x:c>
      <x:c r="B72" s="26" t="str"/>
      <x:c r="C72" s="26" t="str">
        <x:v>Профлист Н 75-750-0,8</x:v>
      </x:c>
      <x:c r="D72" s="26" t="str">
        <x:v>м²</x:v>
      </x:c>
      <x:c r="E72" s="83" t="n">
        <x:v>6.67</x:v>
      </x:c>
      <x:c r="F72" s="84" t="n">
        <x:v>1</x:v>
      </x:c>
      <x:c r="G72" s="83" t="n">
        <x:f>E72*F72</x:f>
        <x:v>6.67</x:v>
      </x:c>
      <x:c r="H72" s="83"/>
      <x:c r="I72" s="83" t="str">
        <x:f>IF(H72="","",G72*H72)</x:f>
      </x:c>
      <x:c r="J72" s="26" t="str">
        <x:v>Л.27, PDF 28</x:v>
      </x:c>
      <x:c r="K72" s="26" t="str">
        <x:v>Исходная строка РД; не масса смонтированной конструкции.</x:v>
      </x:c>
    </x:row>
    <x:row r="73" ht="46" customHeight="1">
      <x:c r="A73" s="22" t="str">
        <x:v>МУ 12</x:v>
      </x:c>
      <x:c r="B73" s="22" t="str">
        <x:v>Б 1</x:v>
      </x:c>
      <x:c r="C73" s="22" t="str">
        <x:v>Балка металлическая Б 1</x:v>
      </x:c>
      <x:c r="D73" s="22" t="str">
        <x:v>шт.</x:v>
      </x:c>
      <x:c r="E73" s="85" t="n">
        <x:v>2</x:v>
      </x:c>
      <x:c r="F73" s="86" t="n">
        <x:v>1</x:v>
      </x:c>
      <x:c r="G73" s="85" t="n">
        <x:f>E73*F73</x:f>
        <x:v>2</x:v>
      </x:c>
      <x:c r="H73" s="85"/>
      <x:c r="I73" s="85" t="str">
        <x:f>IF(H73="","",G73*H73)</x:f>
      </x:c>
      <x:c r="J73" s="22" t="str">
        <x:v>Л.27, PDF 28</x:v>
      </x:c>
      <x:c r="K73" s="22" t="str">
        <x:v>Сборка Б1. Состав/масса только на вкладке 04; здесь массу не суммировать.</x:v>
      </x:c>
    </x:row>
    <x:row r="74" ht="46" customHeight="1">
      <x:c r="A74" s="26" t="str">
        <x:v>МУ 12</x:v>
      </x:c>
      <x:c r="B74" s="26" t="str">
        <x:v>9</x:v>
      </x:c>
      <x:c r="C74" s="26" t="str">
        <x:v>12- А 500 С , L =5740</x:v>
      </x:c>
      <x:c r="D74" s="26" t="str">
        <x:v>шт.</x:v>
      </x:c>
      <x:c r="E74" s="83" t="n">
        <x:v>10</x:v>
      </x:c>
      <x:c r="F74" s="84" t="n">
        <x:v>1</x:v>
      </x:c>
      <x:c r="G74" s="83" t="n">
        <x:f>E74*F74</x:f>
        <x:v>10</x:v>
      </x:c>
      <x:c r="H74" s="83" t="n">
        <x:v>5.1</x:v>
      </x:c>
      <x:c r="I74" s="83" t="n">
        <x:f>IF(H74="","",G74*H74)</x:f>
        <x:v>51</x:v>
      </x:c>
      <x:c r="J74" s="26" t="str">
        <x:v>Л.27, PDF 28</x:v>
      </x:c>
      <x:c r="K74" s="26" t="str">
        <x:v>Исходная строка РД; не масса смонтированной конструкции.</x:v>
      </x:c>
    </x:row>
    <x:row r="75" ht="46" customHeight="1">
      <x:c r="A75" s="22" t="str">
        <x:v>МУ 12</x:v>
      </x:c>
      <x:c r="B75" s="22" t="str">
        <x:v>КР 1</x:v>
      </x:c>
      <x:c r="C75" s="22" t="str">
        <x:v>Каркас КР 1</x:v>
      </x:c>
      <x:c r="D75" s="22" t="str">
        <x:v>шт.</x:v>
      </x:c>
      <x:c r="E75" s="85" t="n">
        <x:v>31</x:v>
      </x:c>
      <x:c r="F75" s="86" t="n">
        <x:v>1</x:v>
      </x:c>
      <x:c r="G75" s="85" t="n">
        <x:f>E75*F75</x:f>
        <x:v>31</x:v>
      </x:c>
      <x:c r="H75" s="85"/>
      <x:c r="I75" s="85" t="str">
        <x:f>IF(H75="","",G75*H75)</x:f>
      </x:c>
      <x:c r="J75" s="22" t="str">
        <x:v>Л.27, PDF 28</x:v>
      </x:c>
      <x:c r="K75" s="22" t="str">
        <x:v>В РД; полная пространственная раскладка не смоделирована.</x:v>
      </x:c>
    </x:row>
    <x:row r="76" ht="46" customHeight="1">
      <x:c r="A76" s="26" t="str">
        <x:v>МУ 12</x:v>
      </x:c>
      <x:c r="B76" s="26" t="str">
        <x:v>5</x:v>
      </x:c>
      <x:c r="C76" s="26" t="str">
        <x:v>Уголок 75х5ГОСТ 8509-93 С245 ГОСТ 27772-2015 L=1750</x:v>
      </x:c>
      <x:c r="D76" s="26" t="str">
        <x:v>шт.</x:v>
      </x:c>
      <x:c r="E76" s="83" t="n">
        <x:v>4</x:v>
      </x:c>
      <x:c r="F76" s="84" t="n">
        <x:v>1</x:v>
      </x:c>
      <x:c r="G76" s="83" t="n">
        <x:f>E76*F76</x:f>
        <x:v>4</x:v>
      </x:c>
      <x:c r="H76" s="83" t="n">
        <x:v>10.15</x:v>
      </x:c>
      <x:c r="I76" s="83" t="n">
        <x:f>IF(H76="","",G76*H76)</x:f>
        <x:v>40.6</x:v>
      </x:c>
      <x:c r="J76" s="26" t="str">
        <x:v>Л.27, PDF 28</x:v>
      </x:c>
      <x:c r="K76" s="26" t="str">
        <x:v>Геометрия частичная; контроль по вкладке 07.</x:v>
      </x:c>
    </x:row>
    <x:row r="77" ht="46" customHeight="1">
      <x:c r="A77" s="22" t="str">
        <x:v>МУ 12</x:v>
      </x:c>
      <x:c r="B77" s="22" t="str">
        <x:v>6</x:v>
      </x:c>
      <x:c r="C77" s="22" t="str">
        <x:v>Уголок 75х5ГОСТ 8509-93 С245 ГОСТ 27772-2015 L=400</x:v>
      </x:c>
      <x:c r="D77" s="22" t="str">
        <x:v>шт.</x:v>
      </x:c>
      <x:c r="E77" s="85" t="n">
        <x:v>2</x:v>
      </x:c>
      <x:c r="F77" s="86" t="n">
        <x:v>1</x:v>
      </x:c>
      <x:c r="G77" s="85" t="n">
        <x:f>E77*F77</x:f>
        <x:v>2</x:v>
      </x:c>
      <x:c r="H77" s="85" t="n">
        <x:v>2.32</x:v>
      </x:c>
      <x:c r="I77" s="85" t="n">
        <x:f>IF(H77="","",G77*H77)</x:f>
        <x:v>4.64</x:v>
      </x:c>
      <x:c r="J77" s="22" t="str">
        <x:v>Л.27, PDF 28</x:v>
      </x:c>
      <x:c r="K77" s="22" t="str">
        <x:v>Геометрия частичная; контроль по вкладке 07.</x:v>
      </x:c>
    </x:row>
    <x:row r="78" ht="46" customHeight="1">
      <x:c r="A78" s="26" t="str">
        <x:v>МУ 12</x:v>
      </x:c>
      <x:c r="B78" s="26" t="str">
        <x:v>7</x:v>
      </x:c>
      <x:c r="C78" s="26" t="str">
        <x:v>Уголок 75х5ГОСТ 8509-93 С245 ГОСТ 27772-2015 L=345</x:v>
      </x:c>
      <x:c r="D78" s="26" t="str">
        <x:v>шт.</x:v>
      </x:c>
      <x:c r="E78" s="83" t="n">
        <x:v>2</x:v>
      </x:c>
      <x:c r="F78" s="84" t="n">
        <x:v>1</x:v>
      </x:c>
      <x:c r="G78" s="83" t="n">
        <x:f>E78*F78</x:f>
        <x:v>2</x:v>
      </x:c>
      <x:c r="H78" s="83" t="n">
        <x:v>2</x:v>
      </x:c>
      <x:c r="I78" s="83" t="n">
        <x:f>IF(H78="","",G78*H78)</x:f>
        <x:v>4</x:v>
      </x:c>
      <x:c r="J78" s="26" t="str">
        <x:v>Л.27, PDF 28</x:v>
      </x:c>
      <x:c r="K78" s="26" t="str">
        <x:v>Геометрия частичная; контроль по вкладке 07.</x:v>
      </x:c>
    </x:row>
    <x:row r="79" ht="46" customHeight="1">
      <x:c r="A79" s="22" t="str">
        <x:v>МУ 12</x:v>
      </x:c>
      <x:c r="B79" s="22" t="str">
        <x:v>8</x:v>
      </x:c>
      <x:c r="C79" s="22" t="str">
        <x:v>Уголок 75х5ГОСТ 8509-93 С245 ГОСТ 27772-2015 L=1305</x:v>
      </x:c>
      <x:c r="D79" s="22" t="str">
        <x:v>шт.</x:v>
      </x:c>
      <x:c r="E79" s="85" t="n">
        <x:v>2</x:v>
      </x:c>
      <x:c r="F79" s="86" t="n">
        <x:v>1</x:v>
      </x:c>
      <x:c r="G79" s="85" t="n">
        <x:f>E79*F79</x:f>
        <x:v>2</x:v>
      </x:c>
      <x:c r="H79" s="85" t="n">
        <x:v>7.57</x:v>
      </x:c>
      <x:c r="I79" s="85" t="n">
        <x:f>IF(H79="","",G79*H79)</x:f>
        <x:v>15.14</x:v>
      </x:c>
      <x:c r="J79" s="22" t="str">
        <x:v>Л.27, PDF 28</x:v>
      </x:c>
      <x:c r="K79" s="22" t="str">
        <x:v>Геометрия частичная; контроль по вкладке 07.</x:v>
      </x:c>
    </x:row>
    <x:row r="80" ht="46" customHeight="1">
      <x:c r="A80" s="26" t="str">
        <x:v>МУ 12</x:v>
      </x:c>
      <x:c r="B80" s="26" t="str"/>
      <x:c r="C80" s="26" t="str">
        <x:v>Бетон В 20</x:v>
      </x:c>
      <x:c r="D80" s="26" t="str">
        <x:v>м³</x:v>
      </x:c>
      <x:c r="E80" s="83" t="n">
        <x:v>1.75</x:v>
      </x:c>
      <x:c r="F80" s="84" t="n">
        <x:v>1</x:v>
      </x:c>
      <x:c r="G80" s="83" t="n">
        <x:f>E80*F80</x:f>
        <x:v>1.75</x:v>
      </x:c>
      <x:c r="H80" s="83"/>
      <x:c r="I80" s="83" t="str">
        <x:f>IF(H80="","",G80*H80)</x:f>
      </x:c>
      <x:c r="J80" s="26" t="str">
        <x:v>Л.27, PDF 28</x:v>
      </x:c>
      <x:c r="K80" s="26" t="str">
        <x:v>Исходная строка РД; не масса смонтированной конструкции.</x:v>
      </x:c>
    </x:row>
    <x:row r="81" ht="46" customHeight="1">
      <x:c r="A81" s="22" t="str">
        <x:v>МУ 12</x:v>
      </x:c>
      <x:c r="B81" s="22" t="str"/>
      <x:c r="C81" s="22" t="str">
        <x:v>Профлист Н 75-750-0,8</x:v>
      </x:c>
      <x:c r="D81" s="22" t="str">
        <x:v>м²</x:v>
      </x:c>
      <x:c r="E81" s="85" t="n">
        <x:v>9.37</x:v>
      </x:c>
      <x:c r="F81" s="86" t="n">
        <x:v>1</x:v>
      </x:c>
      <x:c r="G81" s="85" t="n">
        <x:f>E81*F81</x:f>
        <x:v>9.37</x:v>
      </x:c>
      <x:c r="H81" s="85"/>
      <x:c r="I81" s="85" t="str">
        <x:f>IF(H81="","",G81*H81)</x:f>
      </x:c>
      <x:c r="J81" s="22" t="str">
        <x:v>Л.27, PDF 28</x:v>
      </x:c>
      <x:c r="K81" s="22" t="str">
        <x:v>Исходная строка РД; не масса смонтированной конструкции.</x:v>
      </x:c>
    </x:row>
    <x:row r="82" ht="46" customHeight="1">
      <x:c r="A82" s="26" t="str">
        <x:v>МУ 13</x:v>
      </x:c>
      <x:c r="B82" s="26" t="str">
        <x:v>Б 1</x:v>
      </x:c>
      <x:c r="C82" s="26" t="str">
        <x:v>Балка металлическая Б 1</x:v>
      </x:c>
      <x:c r="D82" s="26" t="str">
        <x:v>шт.</x:v>
      </x:c>
      <x:c r="E82" s="83" t="n">
        <x:v>2</x:v>
      </x:c>
      <x:c r="F82" s="84" t="n">
        <x:v>1</x:v>
      </x:c>
      <x:c r="G82" s="83" t="n">
        <x:f>E82*F82</x:f>
        <x:v>2</x:v>
      </x:c>
      <x:c r="H82" s="83"/>
      <x:c r="I82" s="83" t="str">
        <x:f>IF(H82="","",G82*H82)</x:f>
      </x:c>
      <x:c r="J82" s="26" t="str">
        <x:v>Л.28, PDF 29</x:v>
      </x:c>
      <x:c r="K82" s="26" t="str">
        <x:v>Сборка Б1. Состав/масса только на вкладке 04; здесь массу не суммировать.</x:v>
      </x:c>
    </x:row>
    <x:row r="83" ht="46" customHeight="1">
      <x:c r="A83" s="22" t="str">
        <x:v>МУ 13</x:v>
      </x:c>
      <x:c r="B83" s="22" t="str">
        <x:v>1</x:v>
      </x:c>
      <x:c r="C83" s="22" t="str">
        <x:v>12- А 500 С , L =5740</x:v>
      </x:c>
      <x:c r="D83" s="22" t="str">
        <x:v>шт.</x:v>
      </x:c>
      <x:c r="E83" s="85" t="n">
        <x:v>10</x:v>
      </x:c>
      <x:c r="F83" s="86" t="n">
        <x:v>1</x:v>
      </x:c>
      <x:c r="G83" s="85" t="n">
        <x:f>E83*F83</x:f>
        <x:v>10</x:v>
      </x:c>
      <x:c r="H83" s="85" t="n">
        <x:v>5.1</x:v>
      </x:c>
      <x:c r="I83" s="85" t="n">
        <x:f>IF(H83="","",G83*H83)</x:f>
        <x:v>51</x:v>
      </x:c>
      <x:c r="J83" s="22" t="str">
        <x:v>Л.28, PDF 29</x:v>
      </x:c>
      <x:c r="K83" s="22" t="str">
        <x:v>Исходная строка РД; не масса смонтированной конструкции.</x:v>
      </x:c>
    </x:row>
    <x:row r="84" ht="46" customHeight="1">
      <x:c r="A84" s="26" t="str">
        <x:v>МУ 13</x:v>
      </x:c>
      <x:c r="B84" s="26" t="str">
        <x:v>КР 1</x:v>
      </x:c>
      <x:c r="C84" s="26" t="str">
        <x:v>Каркас КР 1</x:v>
      </x:c>
      <x:c r="D84" s="26" t="str">
        <x:v>шт.</x:v>
      </x:c>
      <x:c r="E84" s="83" t="n">
        <x:v>31</x:v>
      </x:c>
      <x:c r="F84" s="84" t="n">
        <x:v>1</x:v>
      </x:c>
      <x:c r="G84" s="83" t="n">
        <x:f>E84*F84</x:f>
        <x:v>31</x:v>
      </x:c>
      <x:c r="H84" s="83"/>
      <x:c r="I84" s="83" t="str">
        <x:f>IF(H84="","",G84*H84)</x:f>
      </x:c>
      <x:c r="J84" s="26" t="str">
        <x:v>Л.28, PDF 29</x:v>
      </x:c>
      <x:c r="K84" s="26" t="str">
        <x:v>В РД; полная пространственная раскладка не смоделирована.</x:v>
      </x:c>
    </x:row>
    <x:row r="85" ht="46" customHeight="1">
      <x:c r="A85" s="22" t="str">
        <x:v>МУ 13</x:v>
      </x:c>
      <x:c r="B85" s="22" t="str"/>
      <x:c r="C85" s="22" t="str">
        <x:v>Бетон В 20</x:v>
      </x:c>
      <x:c r="D85" s="22" t="str">
        <x:v>м³</x:v>
      </x:c>
      <x:c r="E85" s="85" t="n">
        <x:v>1.75</x:v>
      </x:c>
      <x:c r="F85" s="86" t="n">
        <x:v>1</x:v>
      </x:c>
      <x:c r="G85" s="85" t="n">
        <x:f>E85*F85</x:f>
        <x:v>1.75</x:v>
      </x:c>
      <x:c r="H85" s="85"/>
      <x:c r="I85" s="85" t="str">
        <x:f>IF(H85="","",G85*H85)</x:f>
      </x:c>
      <x:c r="J85" s="22" t="str">
        <x:v>Л.28, PDF 29</x:v>
      </x:c>
      <x:c r="K85" s="22" t="str">
        <x:v>Исходная строка РД; не масса смонтированной конструкции.</x:v>
      </x:c>
    </x:row>
    <x:row r="86" ht="46" customHeight="1">
      <x:c r="A86" s="26" t="str">
        <x:v>МУ 13</x:v>
      </x:c>
      <x:c r="B86" s="26" t="str"/>
      <x:c r="C86" s="26" t="str">
        <x:v>Профлист Н 75-750-0,8</x:v>
      </x:c>
      <x:c r="D86" s="26" t="str">
        <x:v>м²</x:v>
      </x:c>
      <x:c r="E86" s="83" t="n">
        <x:v>10.44</x:v>
      </x:c>
      <x:c r="F86" s="84" t="n">
        <x:v>1</x:v>
      </x:c>
      <x:c r="G86" s="83" t="n">
        <x:f>E86*F86</x:f>
        <x:v>10.44</x:v>
      </x:c>
      <x:c r="H86" s="83"/>
      <x:c r="I86" s="83" t="str">
        <x:f>IF(H86="","",G86*H86)</x:f>
      </x:c>
      <x:c r="J86" s="26" t="str">
        <x:v>Л.28, PDF 29</x:v>
      </x:c>
      <x:c r="K86" s="26" t="str">
        <x:v>Исходная строка РД; не масса смонтированной конструкции.</x:v>
      </x:c>
    </x:row>
    <x:row r="87" ht="46" customHeight="1">
      <x:c r="A87" s="22" t="str">
        <x:v>МУ 14</x:v>
      </x:c>
      <x:c r="B87" s="22" t="str">
        <x:v>Б 1</x:v>
      </x:c>
      <x:c r="C87" s="22" t="str">
        <x:v>Балка металлическая Б 1</x:v>
      </x:c>
      <x:c r="D87" s="22" t="str">
        <x:v>шт.</x:v>
      </x:c>
      <x:c r="E87" s="85" t="n">
        <x:v>2</x:v>
      </x:c>
      <x:c r="F87" s="86" t="n">
        <x:v>1</x:v>
      </x:c>
      <x:c r="G87" s="85" t="n">
        <x:f>E87*F87</x:f>
        <x:v>2</x:v>
      </x:c>
      <x:c r="H87" s="85"/>
      <x:c r="I87" s="85" t="str">
        <x:f>IF(H87="","",G87*H87)</x:f>
      </x:c>
      <x:c r="J87" s="22" t="str">
        <x:v>Л.28, PDF 29</x:v>
      </x:c>
      <x:c r="K87" s="22" t="str">
        <x:v>Сборка Б1. Состав/масса только на вкладке 04; здесь массу не суммировать.</x:v>
      </x:c>
    </x:row>
    <x:row r="88" ht="46" customHeight="1">
      <x:c r="A88" s="26" t="str">
        <x:v>МУ 14</x:v>
      </x:c>
      <x:c r="B88" s="26" t="str">
        <x:v>2</x:v>
      </x:c>
      <x:c r="C88" s="26" t="str">
        <x:v>12- А 500 С , L =5740</x:v>
      </x:c>
      <x:c r="D88" s="26" t="str">
        <x:v>шт.</x:v>
      </x:c>
      <x:c r="E88" s="83" t="n">
        <x:v>10</x:v>
      </x:c>
      <x:c r="F88" s="84" t="n">
        <x:v>1</x:v>
      </x:c>
      <x:c r="G88" s="83" t="n">
        <x:f>E88*F88</x:f>
        <x:v>10</x:v>
      </x:c>
      <x:c r="H88" s="83" t="n">
        <x:v>5.1</x:v>
      </x:c>
      <x:c r="I88" s="83" t="n">
        <x:f>IF(H88="","",G88*H88)</x:f>
        <x:v>51</x:v>
      </x:c>
      <x:c r="J88" s="26" t="str">
        <x:v>Л.28, PDF 29</x:v>
      </x:c>
      <x:c r="K88" s="26" t="str">
        <x:v>Исходная строка РД; не масса смонтированной конструкции.</x:v>
      </x:c>
    </x:row>
    <x:row r="89" ht="46" customHeight="1">
      <x:c r="A89" s="22" t="str">
        <x:v>МУ 14</x:v>
      </x:c>
      <x:c r="B89" s="22" t="str">
        <x:v>КР 1</x:v>
      </x:c>
      <x:c r="C89" s="22" t="str">
        <x:v>Каркас КР 1</x:v>
      </x:c>
      <x:c r="D89" s="22" t="str">
        <x:v>шт.</x:v>
      </x:c>
      <x:c r="E89" s="85" t="n">
        <x:v>31</x:v>
      </x:c>
      <x:c r="F89" s="86" t="n">
        <x:v>1</x:v>
      </x:c>
      <x:c r="G89" s="85" t="n">
        <x:f>E89*F89</x:f>
        <x:v>31</x:v>
      </x:c>
      <x:c r="H89" s="85"/>
      <x:c r="I89" s="85" t="str">
        <x:f>IF(H89="","",G89*H89)</x:f>
      </x:c>
      <x:c r="J89" s="22" t="str">
        <x:v>Л.28, PDF 29</x:v>
      </x:c>
      <x:c r="K89" s="22" t="str">
        <x:v>В РД; полная пространственная раскладка не смоделирована.</x:v>
      </x:c>
    </x:row>
    <x:row r="90" ht="46" customHeight="1">
      <x:c r="A90" s="26" t="str">
        <x:v>МУ 14</x:v>
      </x:c>
      <x:c r="B90" s="26" t="str"/>
      <x:c r="C90" s="26" t="str">
        <x:v>Бетон В 20</x:v>
      </x:c>
      <x:c r="D90" s="26" t="str">
        <x:v>м³</x:v>
      </x:c>
      <x:c r="E90" s="83" t="n">
        <x:v>1.75</x:v>
      </x:c>
      <x:c r="F90" s="84" t="n">
        <x:v>1</x:v>
      </x:c>
      <x:c r="G90" s="83" t="n">
        <x:f>E90*F90</x:f>
        <x:v>1.75</x:v>
      </x:c>
      <x:c r="H90" s="83"/>
      <x:c r="I90" s="83" t="str">
        <x:f>IF(H90="","",G90*H90)</x:f>
      </x:c>
      <x:c r="J90" s="26" t="str">
        <x:v>Л.28, PDF 29</x:v>
      </x:c>
      <x:c r="K90" s="26" t="str">
        <x:v>Исходная строка РД; не масса смонтированной конструкции.</x:v>
      </x:c>
    </x:row>
    <x:row r="91" ht="46" customHeight="1">
      <x:c r="A91" s="22" t="str">
        <x:v>МУ 14</x:v>
      </x:c>
      <x:c r="B91" s="22" t="str"/>
      <x:c r="C91" s="22" t="str">
        <x:v>Профлист Н 75-750-0,8</x:v>
      </x:c>
      <x:c r="D91" s="22" t="str">
        <x:v>м²</x:v>
      </x:c>
      <x:c r="E91" s="85" t="n">
        <x:v>10.44</x:v>
      </x:c>
      <x:c r="F91" s="86" t="n">
        <x:v>1</x:v>
      </x:c>
      <x:c r="G91" s="85" t="n">
        <x:f>E91*F91</x:f>
        <x:v>10.44</x:v>
      </x:c>
      <x:c r="H91" s="85"/>
      <x:c r="I91" s="85" t="str">
        <x:f>IF(H91="","",G91*H91)</x:f>
      </x:c>
      <x:c r="J91" s="22" t="str">
        <x:v>Л.28, PDF 29</x:v>
      </x:c>
      <x:c r="K91" s="22" t="str">
        <x:v>Исходная строка РД; не масса смонтированной конструкции.</x:v>
      </x:c>
    </x:row>
    <x:row r="92" ht="46" customHeight="1">
      <x:c r="A92" s="26" t="str">
        <x:v>МУ 15</x:v>
      </x:c>
      <x:c r="B92" s="26" t="str">
        <x:v>1</x:v>
      </x:c>
      <x:c r="C92" s="26" t="str">
        <x:v>16 - А 500 С , м .п</x:v>
      </x:c>
      <x:c r="D92" s="26" t="str">
        <x:v>п.м</x:v>
      </x:c>
      <x:c r="E92" s="83" t="n">
        <x:v>101.6</x:v>
      </x:c>
      <x:c r="F92" s="84" t="n">
        <x:v>1</x:v>
      </x:c>
      <x:c r="G92" s="83" t="n">
        <x:f>E92*F92</x:f>
        <x:v>101.6</x:v>
      </x:c>
      <x:c r="H92" s="83" t="n">
        <x:v>1.578</x:v>
      </x:c>
      <x:c r="I92" s="83" t="n">
        <x:f>IF(H92="","",G92*H92)</x:f>
        <x:v>160.3248</x:v>
      </x:c>
      <x:c r="J92" s="26" t="str">
        <x:v>Л.23, PDF 24</x:v>
      </x:c>
      <x:c r="K92" s="26" t="str">
        <x:v>Исходная строка РД; не масса смонтированной конструкции.</x:v>
      </x:c>
    </x:row>
    <x:row r="93" ht="46" customHeight="1">
      <x:c r="A93" s="22" t="str">
        <x:v>МУ 15</x:v>
      </x:c>
      <x:c r="B93" s="22" t="str">
        <x:v>П 1</x:v>
      </x:c>
      <x:c r="C93" s="22" t="str">
        <x:v>12- А 500 С , L =1315</x:v>
      </x:c>
      <x:c r="D93" s="22" t="str">
        <x:v>шт.</x:v>
      </x:c>
      <x:c r="E93" s="85" t="n">
        <x:v>69</x:v>
      </x:c>
      <x:c r="F93" s="86" t="n">
        <x:v>1</x:v>
      </x:c>
      <x:c r="G93" s="85" t="n">
        <x:f>E93*F93</x:f>
        <x:v>69</x:v>
      </x:c>
      <x:c r="H93" s="85" t="n">
        <x:v>1.17</x:v>
      </x:c>
      <x:c r="I93" s="85" t="n">
        <x:f>IF(H93="","",G93*H93)</x:f>
        <x:v>80.72999999999999</x:v>
      </x:c>
      <x:c r="J93" s="22" t="str">
        <x:v>Л.23, PDF 24</x:v>
      </x:c>
      <x:c r="K93" s="22" t="str">
        <x:v>Исходная строка РД; не масса смонтированной конструкции.</x:v>
      </x:c>
    </x:row>
    <x:row r="94" ht="46" customHeight="1">
      <x:c r="A94" s="26" t="str">
        <x:v>МУ 15</x:v>
      </x:c>
      <x:c r="B94" s="26" t="str">
        <x:v>Ф 1</x:v>
      </x:c>
      <x:c r="C94" s="26" t="str">
        <x:v>10- А 500 С , L =1030</x:v>
      </x:c>
      <x:c r="D94" s="26" t="str">
        <x:v>шт.</x:v>
      </x:c>
      <x:c r="E94" s="83" t="n">
        <x:v>10</x:v>
      </x:c>
      <x:c r="F94" s="84" t="n">
        <x:v>1</x:v>
      </x:c>
      <x:c r="G94" s="83" t="n">
        <x:f>E94*F94</x:f>
        <x:v>10</x:v>
      </x:c>
      <x:c r="H94" s="83" t="n">
        <x:v>0.64</x:v>
      </x:c>
      <x:c r="I94" s="83" t="n">
        <x:f>IF(H94="","",G94*H94)</x:f>
        <x:v>6.4</x:v>
      </x:c>
      <x:c r="J94" s="26" t="str">
        <x:v>Л.23, PDF 24</x:v>
      </x:c>
      <x:c r="K94" s="26" t="str">
        <x:v>Исходная строка РД; не масса смонтированной конструкции.</x:v>
      </x:c>
    </x:row>
    <x:row r="95" ht="46" customHeight="1">
      <x:c r="A95" s="22" t="str">
        <x:v>МУ 15</x:v>
      </x:c>
      <x:c r="B95" s="22" t="str"/>
      <x:c r="C95" s="22" t="str">
        <x:v>Бетон В 20</x:v>
      </x:c>
      <x:c r="D95" s="22" t="str">
        <x:v>м³</x:v>
      </x:c>
      <x:c r="E95" s="85" t="n">
        <x:v>1.1</x:v>
      </x:c>
      <x:c r="F95" s="86" t="n">
        <x:v>1</x:v>
      </x:c>
      <x:c r="G95" s="85" t="n">
        <x:f>E95*F95</x:f>
        <x:v>1.1</x:v>
      </x:c>
      <x:c r="H95" s="85"/>
      <x:c r="I95" s="85" t="str">
        <x:f>IF(H95="","",G95*H95)</x:f>
      </x:c>
      <x:c r="J95" s="22" t="str">
        <x:v>Л.23, PDF 24</x:v>
      </x:c>
      <x:c r="K95" s="22" t="str">
        <x:v>Исходная строка РД; не масса смонтированной конструкции.</x:v>
      </x:c>
    </x:row>
    <x:row r="96" ht="46" customHeight="1">
      <x:c r="A96" s="26" t="str">
        <x:v>МУ 16</x:v>
      </x:c>
      <x:c r="B96" s="26" t="str">
        <x:v>Б 1</x:v>
      </x:c>
      <x:c r="C96" s="26" t="str">
        <x:v>Балка металлическая Б 1</x:v>
      </x:c>
      <x:c r="D96" s="26" t="str">
        <x:v>шт.</x:v>
      </x:c>
      <x:c r="E96" s="83" t="n">
        <x:v>2</x:v>
      </x:c>
      <x:c r="F96" s="84" t="n">
        <x:v>1</x:v>
      </x:c>
      <x:c r="G96" s="83" t="n">
        <x:f>E96*F96</x:f>
        <x:v>2</x:v>
      </x:c>
      <x:c r="H96" s="83"/>
      <x:c r="I96" s="83" t="str">
        <x:f>IF(H96="","",G96*H96)</x:f>
      </x:c>
      <x:c r="J96" s="26" t="str">
        <x:v>Л.29, PDF 30</x:v>
      </x:c>
      <x:c r="K96" s="26" t="str">
        <x:v>Сборка Б1. Состав/масса только на вкладке 04; здесь массу не суммировать.</x:v>
      </x:c>
    </x:row>
    <x:row r="97" ht="46" customHeight="1">
      <x:c r="A97" s="22" t="str">
        <x:v>МУ 16</x:v>
      </x:c>
      <x:c r="B97" s="22" t="str">
        <x:v>3</x:v>
      </x:c>
      <x:c r="C97" s="22" t="str">
        <x:v>12- А 500 С , L =5740</x:v>
      </x:c>
      <x:c r="D97" s="22" t="str">
        <x:v>шт.</x:v>
      </x:c>
      <x:c r="E97" s="85" t="n">
        <x:v>10</x:v>
      </x:c>
      <x:c r="F97" s="86" t="n">
        <x:v>1</x:v>
      </x:c>
      <x:c r="G97" s="85" t="n">
        <x:f>E97*F97</x:f>
        <x:v>10</x:v>
      </x:c>
      <x:c r="H97" s="85" t="n">
        <x:v>5.1</x:v>
      </x:c>
      <x:c r="I97" s="85" t="n">
        <x:f>IF(H97="","",G97*H97)</x:f>
        <x:v>51</x:v>
      </x:c>
      <x:c r="J97" s="22" t="str">
        <x:v>Л.29, PDF 30</x:v>
      </x:c>
      <x:c r="K97" s="22" t="str">
        <x:v>Исходная строка РД; не масса смонтированной конструкции.</x:v>
      </x:c>
    </x:row>
    <x:row r="98" ht="46" customHeight="1">
      <x:c r="A98" s="26" t="str">
        <x:v>МУ 16</x:v>
      </x:c>
      <x:c r="B98" s="26" t="str">
        <x:v>КР 1</x:v>
      </x:c>
      <x:c r="C98" s="26" t="str">
        <x:v>Каркас КР 1</x:v>
      </x:c>
      <x:c r="D98" s="26" t="str">
        <x:v>шт.</x:v>
      </x:c>
      <x:c r="E98" s="83" t="n">
        <x:v>31</x:v>
      </x:c>
      <x:c r="F98" s="84" t="n">
        <x:v>1</x:v>
      </x:c>
      <x:c r="G98" s="83" t="n">
        <x:f>E98*F98</x:f>
        <x:v>31</x:v>
      </x:c>
      <x:c r="H98" s="83"/>
      <x:c r="I98" s="83" t="str">
        <x:f>IF(H98="","",G98*H98)</x:f>
      </x:c>
      <x:c r="J98" s="26" t="str">
        <x:v>Л.29, PDF 30</x:v>
      </x:c>
      <x:c r="K98" s="26" t="str">
        <x:v>В РД; полная пространственная раскладка не смоделирована.</x:v>
      </x:c>
    </x:row>
    <x:row r="99" ht="46" customHeight="1">
      <x:c r="A99" s="22" t="str">
        <x:v>МУ 16</x:v>
      </x:c>
      <x:c r="B99" s="22" t="str">
        <x:v>1</x:v>
      </x:c>
      <x:c r="C99" s="22" t="str">
        <x:v>Уголок 75х5ГОСТ 8509-93 С245 ГОСТ 27772-2015 L=1750</x:v>
      </x:c>
      <x:c r="D99" s="22" t="str">
        <x:v>шт.</x:v>
      </x:c>
      <x:c r="E99" s="85" t="n">
        <x:v>2</x:v>
      </x:c>
      <x:c r="F99" s="86" t="n">
        <x:v>1</x:v>
      </x:c>
      <x:c r="G99" s="85" t="n">
        <x:f>E99*F99</x:f>
        <x:v>2</x:v>
      </x:c>
      <x:c r="H99" s="85" t="n">
        <x:v>10.15</x:v>
      </x:c>
      <x:c r="I99" s="85" t="n">
        <x:f>IF(H99="","",G99*H99)</x:f>
        <x:v>20.3</x:v>
      </x:c>
      <x:c r="J99" s="22" t="str">
        <x:v>Л.29, PDF 30</x:v>
      </x:c>
      <x:c r="K99" s="22" t="str">
        <x:v>Геометрия частичная; контроль по вкладке 07.</x:v>
      </x:c>
    </x:row>
    <x:row r="100" ht="46" customHeight="1">
      <x:c r="A100" s="26" t="str">
        <x:v>МУ 16</x:v>
      </x:c>
      <x:c r="B100" s="26" t="str">
        <x:v>2</x:v>
      </x:c>
      <x:c r="C100" s="26" t="str">
        <x:v>Уголок 75х5ГОСТ 8509-93 С245 ГОСТ 27772-2015 L= 600</x:v>
      </x:c>
      <x:c r="D100" s="26" t="str">
        <x:v>шт.</x:v>
      </x:c>
      <x:c r="E100" s="83" t="n">
        <x:v>2</x:v>
      </x:c>
      <x:c r="F100" s="84" t="n">
        <x:v>1</x:v>
      </x:c>
      <x:c r="G100" s="83" t="n">
        <x:f>E100*F100</x:f>
        <x:v>2</x:v>
      </x:c>
      <x:c r="H100" s="83" t="n">
        <x:v>3.48</x:v>
      </x:c>
      <x:c r="I100" s="83" t="n">
        <x:f>IF(H100="","",G100*H100)</x:f>
        <x:v>6.96</x:v>
      </x:c>
      <x:c r="J100" s="26" t="str">
        <x:v>Л.29, PDF 30</x:v>
      </x:c>
      <x:c r="K100" s="26" t="str">
        <x:v>Геометрия частичная; контроль по вкладке 07.</x:v>
      </x:c>
    </x:row>
    <x:row r="101" ht="46" customHeight="1">
      <x:c r="A101" s="22" t="str">
        <x:v>МУ 16</x:v>
      </x:c>
      <x:c r="B101" s="22" t="str"/>
      <x:c r="C101" s="22" t="str">
        <x:v>Бетон В 20</x:v>
      </x:c>
      <x:c r="D101" s="22" t="str">
        <x:v>м³</x:v>
      </x:c>
      <x:c r="E101" s="85" t="n">
        <x:v>1.75</x:v>
      </x:c>
      <x:c r="F101" s="86" t="n">
        <x:v>1</x:v>
      </x:c>
      <x:c r="G101" s="85" t="n">
        <x:f>E101*F101</x:f>
        <x:v>1.75</x:v>
      </x:c>
      <x:c r="H101" s="85"/>
      <x:c r="I101" s="85" t="str">
        <x:f>IF(H101="","",G101*H101)</x:f>
      </x:c>
      <x:c r="J101" s="22" t="str">
        <x:v>Л.29, PDF 30</x:v>
      </x:c>
      <x:c r="K101" s="22" t="str">
        <x:v>Исходная строка РД; не масса смонтированной конструкции.</x:v>
      </x:c>
    </x:row>
    <x:row r="102" ht="46" customHeight="1">
      <x:c r="A102" s="26" t="str">
        <x:v>МУ 16</x:v>
      </x:c>
      <x:c r="B102" s="26" t="str"/>
      <x:c r="C102" s="26" t="str">
        <x:v>Профлист Н 75-750-0,8</x:v>
      </x:c>
      <x:c r="D102" s="26" t="str">
        <x:v>м²</x:v>
      </x:c>
      <x:c r="E102" s="83" t="n">
        <x:v>10.34</x:v>
      </x:c>
      <x:c r="F102" s="84" t="n">
        <x:v>1</x:v>
      </x:c>
      <x:c r="G102" s="83" t="n">
        <x:f>E102*F102</x:f>
        <x:v>10.34</x:v>
      </x:c>
      <x:c r="H102" s="83"/>
      <x:c r="I102" s="83" t="str">
        <x:f>IF(H102="","",G102*H102)</x:f>
      </x:c>
      <x:c r="J102" s="26" t="str">
        <x:v>Л.29, PDF 30</x:v>
      </x:c>
      <x:c r="K102" s="26" t="str">
        <x:v>Исходная строка РД; не масса смонтированной конструкции.</x:v>
      </x:c>
    </x:row>
    <x:row r="103" ht="46" customHeight="1">
      <x:c r="A103" s="22" t="str">
        <x:v>МУ 17</x:v>
      </x:c>
      <x:c r="B103" s="22" t="str">
        <x:v>Б 1</x:v>
      </x:c>
      <x:c r="C103" s="22" t="str">
        <x:v>Балка металлическая Б 1</x:v>
      </x:c>
      <x:c r="D103" s="22" t="str">
        <x:v>шт.</x:v>
      </x:c>
      <x:c r="E103" s="85" t="n">
        <x:v>2</x:v>
      </x:c>
      <x:c r="F103" s="86" t="n">
        <x:v>1</x:v>
      </x:c>
      <x:c r="G103" s="85" t="n">
        <x:f>E103*F103</x:f>
        <x:v>2</x:v>
      </x:c>
      <x:c r="H103" s="85"/>
      <x:c r="I103" s="85" t="str">
        <x:f>IF(H103="","",G103*H103)</x:f>
      </x:c>
      <x:c r="J103" s="22" t="str">
        <x:v>Л.29, PDF 30</x:v>
      </x:c>
      <x:c r="K103" s="22" t="str">
        <x:v>Сборка Б1. Состав/масса только на вкладке 04; здесь массу не суммировать.</x:v>
      </x:c>
    </x:row>
    <x:row r="104" ht="46" customHeight="1">
      <x:c r="A104" s="26" t="str">
        <x:v>МУ 17</x:v>
      </x:c>
      <x:c r="B104" s="26" t="str">
        <x:v>7</x:v>
      </x:c>
      <x:c r="C104" s="26" t="str">
        <x:v>12- А 500 С , L =5740</x:v>
      </x:c>
      <x:c r="D104" s="26" t="str">
        <x:v>шт.</x:v>
      </x:c>
      <x:c r="E104" s="83" t="n">
        <x:v>10</x:v>
      </x:c>
      <x:c r="F104" s="84" t="n">
        <x:v>1</x:v>
      </x:c>
      <x:c r="G104" s="83" t="n">
        <x:f>E104*F104</x:f>
        <x:v>10</x:v>
      </x:c>
      <x:c r="H104" s="83" t="n">
        <x:v>5.1</x:v>
      </x:c>
      <x:c r="I104" s="83" t="n">
        <x:f>IF(H104="","",G104*H104)</x:f>
        <x:v>51</x:v>
      </x:c>
      <x:c r="J104" s="26" t="str">
        <x:v>Л.29, PDF 30</x:v>
      </x:c>
      <x:c r="K104" s="26" t="str">
        <x:v>Исходная строка РД; не масса смонтированной конструкции.</x:v>
      </x:c>
    </x:row>
    <x:row r="105" ht="46" customHeight="1">
      <x:c r="A105" s="22" t="str">
        <x:v>МУ 17</x:v>
      </x:c>
      <x:c r="B105" s="22" t="str">
        <x:v>КР 1</x:v>
      </x:c>
      <x:c r="C105" s="22" t="str">
        <x:v>Каркас КР 1</x:v>
      </x:c>
      <x:c r="D105" s="22" t="str">
        <x:v>шт.</x:v>
      </x:c>
      <x:c r="E105" s="85" t="n">
        <x:v>31</x:v>
      </x:c>
      <x:c r="F105" s="86" t="n">
        <x:v>1</x:v>
      </x:c>
      <x:c r="G105" s="85" t="n">
        <x:f>E105*F105</x:f>
        <x:v>31</x:v>
      </x:c>
      <x:c r="H105" s="85"/>
      <x:c r="I105" s="85" t="str">
        <x:f>IF(H105="","",G105*H105)</x:f>
      </x:c>
      <x:c r="J105" s="22" t="str">
        <x:v>Л.29, PDF 30</x:v>
      </x:c>
      <x:c r="K105" s="22" t="str">
        <x:v>В РД; полная пространственная раскладка не смоделирована.</x:v>
      </x:c>
    </x:row>
    <x:row r="106" ht="46" customHeight="1">
      <x:c r="A106" s="26" t="str">
        <x:v>МУ 17</x:v>
      </x:c>
      <x:c r="B106" s="26" t="str">
        <x:v>4</x:v>
      </x:c>
      <x:c r="C106" s="26" t="str">
        <x:v>Уголок 75х5ГОСТ 8509-93 С245 ГОСТ 27772-2015 L=1750</x:v>
      </x:c>
      <x:c r="D106" s="26" t="str">
        <x:v>шт.</x:v>
      </x:c>
      <x:c r="E106" s="83" t="n">
        <x:v>3</x:v>
      </x:c>
      <x:c r="F106" s="84" t="n">
        <x:v>1</x:v>
      </x:c>
      <x:c r="G106" s="83" t="n">
        <x:f>E106*F106</x:f>
        <x:v>3</x:v>
      </x:c>
      <x:c r="H106" s="83" t="n">
        <x:v>10.15</x:v>
      </x:c>
      <x:c r="I106" s="83" t="n">
        <x:f>IF(H106="","",G106*H106)</x:f>
        <x:v>30.450000000000003</x:v>
      </x:c>
      <x:c r="J106" s="26" t="str">
        <x:v>Л.29, PDF 30</x:v>
      </x:c>
      <x:c r="K106" s="26" t="str">
        <x:v>Геометрия частичная; контроль по вкладке 07.</x:v>
      </x:c>
    </x:row>
    <x:row r="107" ht="46" customHeight="1">
      <x:c r="A107" s="22" t="str">
        <x:v>МУ 17</x:v>
      </x:c>
      <x:c r="B107" s="22" t="str">
        <x:v>5</x:v>
      </x:c>
      <x:c r="C107" s="22" t="str">
        <x:v>Уголок 75х5ГОСТ 8509-93 С245 ГОСТ 27772-2015 L= 1900</x:v>
      </x:c>
      <x:c r="D107" s="22" t="str">
        <x:v>шт.</x:v>
      </x:c>
      <x:c r="E107" s="85" t="n">
        <x:v>2</x:v>
      </x:c>
      <x:c r="F107" s="86" t="n">
        <x:v>1</x:v>
      </x:c>
      <x:c r="G107" s="85" t="n">
        <x:f>E107*F107</x:f>
        <x:v>2</x:v>
      </x:c>
      <x:c r="H107" s="85" t="n">
        <x:v>11.02</x:v>
      </x:c>
      <x:c r="I107" s="85" t="n">
        <x:f>IF(H107="","",G107*H107)</x:f>
        <x:v>22.04</x:v>
      </x:c>
      <x:c r="J107" s="22" t="str">
        <x:v>Л.29, PDF 30</x:v>
      </x:c>
      <x:c r="K107" s="22" t="str">
        <x:v>Геометрия частичная; контроль по вкладке 07.</x:v>
      </x:c>
    </x:row>
    <x:row r="108" ht="46" customHeight="1">
      <x:c r="A108" s="26" t="str">
        <x:v>МУ 17</x:v>
      </x:c>
      <x:c r="B108" s="26" t="str">
        <x:v>6</x:v>
      </x:c>
      <x:c r="C108" s="26" t="str">
        <x:v>Уголок 75х5ГОСТ 8509-93 С245 ГОСТ 27772-2015 L= 825</x:v>
      </x:c>
      <x:c r="D108" s="26" t="str">
        <x:v>шт.</x:v>
      </x:c>
      <x:c r="E108" s="83" t="n">
        <x:v>2</x:v>
      </x:c>
      <x:c r="F108" s="84" t="n">
        <x:v>1</x:v>
      </x:c>
      <x:c r="G108" s="83" t="n">
        <x:f>E108*F108</x:f>
        <x:v>2</x:v>
      </x:c>
      <x:c r="H108" s="83" t="n">
        <x:v>4.8</x:v>
      </x:c>
      <x:c r="I108" s="83" t="n">
        <x:f>IF(H108="","",G108*H108)</x:f>
        <x:v>9.6</x:v>
      </x:c>
      <x:c r="J108" s="26" t="str">
        <x:v>Л.29, PDF 30</x:v>
      </x:c>
      <x:c r="K108" s="26" t="str">
        <x:v>Геометрия частичная; контроль по вкладке 07.</x:v>
      </x:c>
    </x:row>
    <x:row r="109" ht="46" customHeight="1">
      <x:c r="A109" s="22" t="str">
        <x:v>МУ 17</x:v>
      </x:c>
      <x:c r="B109" s="22" t="str"/>
      <x:c r="C109" s="22" t="str">
        <x:v>Бетон В 20</x:v>
      </x:c>
      <x:c r="D109" s="22" t="str">
        <x:v>м³</x:v>
      </x:c>
      <x:c r="E109" s="85" t="n">
        <x:v>1.75</x:v>
      </x:c>
      <x:c r="F109" s="86" t="n">
        <x:v>1</x:v>
      </x:c>
      <x:c r="G109" s="85" t="n">
        <x:f>E109*F109</x:f>
        <x:v>1.75</x:v>
      </x:c>
      <x:c r="H109" s="85"/>
      <x:c r="I109" s="85" t="str">
        <x:f>IF(H109="","",G109*H109)</x:f>
      </x:c>
      <x:c r="J109" s="22" t="str">
        <x:v>Л.29, PDF 30</x:v>
      </x:c>
      <x:c r="K109" s="22" t="str">
        <x:v>Исходная строка РД; не масса смонтированной конструкции.</x:v>
      </x:c>
    </x:row>
    <x:row r="110" ht="46" customHeight="1">
      <x:c r="A110" s="26" t="str">
        <x:v>МУ 17</x:v>
      </x:c>
      <x:c r="B110" s="26" t="str"/>
      <x:c r="C110" s="26" t="str">
        <x:v>Профлист Н 75-750-0,8</x:v>
      </x:c>
      <x:c r="D110" s="26" t="str">
        <x:v>м²</x:v>
      </x:c>
      <x:c r="E110" s="83" t="n">
        <x:v>9.11</x:v>
      </x:c>
      <x:c r="F110" s="84" t="n">
        <x:v>1</x:v>
      </x:c>
      <x:c r="G110" s="83" t="n">
        <x:f>E110*F110</x:f>
        <x:v>9.11</x:v>
      </x:c>
      <x:c r="H110" s="83"/>
      <x:c r="I110" s="83" t="str">
        <x:f>IF(H110="","",G110*H110)</x:f>
      </x:c>
      <x:c r="J110" s="26" t="str">
        <x:v>Л.29, PDF 30</x:v>
      </x:c>
      <x:c r="K110" s="26" t="str">
        <x:v>Исходная строка РД; не масса смонтированной конструкции.</x:v>
      </x:c>
    </x:row>
    <x:row r="111" ht="46" customHeight="1">
      <x:c r="A111" s="22" t="str">
        <x:v>МУ 18</x:v>
      </x:c>
      <x:c r="B111" s="22" t="str">
        <x:v>Б 1</x:v>
      </x:c>
      <x:c r="C111" s="22" t="str">
        <x:v>Балка металлическая Б 1</x:v>
      </x:c>
      <x:c r="D111" s="22" t="str">
        <x:v>шт.</x:v>
      </x:c>
      <x:c r="E111" s="85" t="n">
        <x:v>2</x:v>
      </x:c>
      <x:c r="F111" s="86" t="n">
        <x:v>1</x:v>
      </x:c>
      <x:c r="G111" s="85" t="n">
        <x:f>E111*F111</x:f>
        <x:v>2</x:v>
      </x:c>
      <x:c r="H111" s="85"/>
      <x:c r="I111" s="85" t="str">
        <x:f>IF(H111="","",G111*H111)</x:f>
      </x:c>
      <x:c r="J111" s="22" t="str">
        <x:v>Л.28, PDF 29</x:v>
      </x:c>
      <x:c r="K111" s="22" t="str">
        <x:v>Сборка Б1. Состав/масса только на вкладке 04; здесь массу не суммировать.</x:v>
      </x:c>
    </x:row>
    <x:row r="112" ht="46" customHeight="1">
      <x:c r="A112" s="26" t="str">
        <x:v>МУ 18</x:v>
      </x:c>
      <x:c r="B112" s="26" t="str">
        <x:v>6</x:v>
      </x:c>
      <x:c r="C112" s="26" t="str">
        <x:v>12- А 500 С , L =5740</x:v>
      </x:c>
      <x:c r="D112" s="26" t="str">
        <x:v>шт.</x:v>
      </x:c>
      <x:c r="E112" s="83" t="n">
        <x:v>10</x:v>
      </x:c>
      <x:c r="F112" s="84" t="n">
        <x:v>1</x:v>
      </x:c>
      <x:c r="G112" s="83" t="n">
        <x:f>E112*F112</x:f>
        <x:v>10</x:v>
      </x:c>
      <x:c r="H112" s="83" t="n">
        <x:v>5.1</x:v>
      </x:c>
      <x:c r="I112" s="83" t="n">
        <x:f>IF(H112="","",G112*H112)</x:f>
        <x:v>51</x:v>
      </x:c>
      <x:c r="J112" s="26" t="str">
        <x:v>Л.28, PDF 29</x:v>
      </x:c>
      <x:c r="K112" s="26" t="str">
        <x:v>Исходная строка РД; не масса смонтированной конструкции.</x:v>
      </x:c>
    </x:row>
    <x:row r="113" ht="46" customHeight="1">
      <x:c r="A113" s="22" t="str">
        <x:v>МУ 18</x:v>
      </x:c>
      <x:c r="B113" s="22" t="str">
        <x:v>КР 1</x:v>
      </x:c>
      <x:c r="C113" s="22" t="str">
        <x:v>Каркас КР 1</x:v>
      </x:c>
      <x:c r="D113" s="22" t="str">
        <x:v>шт.</x:v>
      </x:c>
      <x:c r="E113" s="85" t="n">
        <x:v>31</x:v>
      </x:c>
      <x:c r="F113" s="86" t="n">
        <x:v>1</x:v>
      </x:c>
      <x:c r="G113" s="85" t="n">
        <x:f>E113*F113</x:f>
        <x:v>31</x:v>
      </x:c>
      <x:c r="H113" s="85"/>
      <x:c r="I113" s="85" t="str">
        <x:f>IF(H113="","",G113*H113)</x:f>
      </x:c>
      <x:c r="J113" s="22" t="str">
        <x:v>Л.28, PDF 29</x:v>
      </x:c>
      <x:c r="K113" s="22" t="str">
        <x:v>В РД; полная пространственная раскладка не смоделирована.</x:v>
      </x:c>
    </x:row>
    <x:row r="114" ht="46" customHeight="1">
      <x:c r="A114" s="26" t="str">
        <x:v>МУ 18</x:v>
      </x:c>
      <x:c r="B114" s="26" t="str">
        <x:v>3</x:v>
      </x:c>
      <x:c r="C114" s="26" t="str">
        <x:v>Уголок 75х5ГОСТ 8509-93 С245 ГОСТ 27772-2015 L=1750</x:v>
      </x:c>
      <x:c r="D114" s="26" t="str">
        <x:v>шт.</x:v>
      </x:c>
      <x:c r="E114" s="83" t="n">
        <x:v>4</x:v>
      </x:c>
      <x:c r="F114" s="84" t="n">
        <x:v>1</x:v>
      </x:c>
      <x:c r="G114" s="83" t="n">
        <x:f>E114*F114</x:f>
        <x:v>4</x:v>
      </x:c>
      <x:c r="H114" s="83" t="n">
        <x:v>10.15</x:v>
      </x:c>
      <x:c r="I114" s="83" t="n">
        <x:f>IF(H114="","",G114*H114)</x:f>
        <x:v>40.6</x:v>
      </x:c>
      <x:c r="J114" s="26" t="str">
        <x:v>Л.28, PDF 29</x:v>
      </x:c>
      <x:c r="K114" s="26" t="str">
        <x:v>Геометрия частичная; контроль по вкладке 07.</x:v>
      </x:c>
    </x:row>
    <x:row r="115" ht="46" customHeight="1">
      <x:c r="A115" s="22" t="str">
        <x:v>МУ 18</x:v>
      </x:c>
      <x:c r="B115" s="22" t="str">
        <x:v>4</x:v>
      </x:c>
      <x:c r="C115" s="22" t="str">
        <x:v>Уголок 75х5ГОСТ 8509-93 С245 ГОСТ 27772-2015 L=1100</x:v>
      </x:c>
      <x:c r="D115" s="22" t="str">
        <x:v>шт.</x:v>
      </x:c>
      <x:c r="E115" s="85" t="n">
        <x:v>2</x:v>
      </x:c>
      <x:c r="F115" s="86" t="n">
        <x:v>1</x:v>
      </x:c>
      <x:c r="G115" s="85" t="n">
        <x:f>E115*F115</x:f>
        <x:v>2</x:v>
      </x:c>
      <x:c r="H115" s="85" t="n">
        <x:v>6.38</x:v>
      </x:c>
      <x:c r="I115" s="85" t="n">
        <x:f>IF(H115="","",G115*H115)</x:f>
        <x:v>12.76</x:v>
      </x:c>
      <x:c r="J115" s="22" t="str">
        <x:v>Л.28, PDF 29</x:v>
      </x:c>
      <x:c r="K115" s="22" t="str">
        <x:v>Геометрия частичная; контроль по вкладке 07.</x:v>
      </x:c>
    </x:row>
    <x:row r="116" ht="46" customHeight="1">
      <x:c r="A116" s="26" t="str">
        <x:v>МУ 18</x:v>
      </x:c>
      <x:c r="B116" s="26" t="str">
        <x:v>5</x:v>
      </x:c>
      <x:c r="C116" s="26" t="str">
        <x:v>Уголок 75х5ГОСТ 8509-93 С245 ГОСТ 27772-2015 L=1900</x:v>
      </x:c>
      <x:c r="D116" s="26" t="str">
        <x:v>шт.</x:v>
      </x:c>
      <x:c r="E116" s="83" t="n">
        <x:v>2</x:v>
      </x:c>
      <x:c r="F116" s="84" t="n">
        <x:v>1</x:v>
      </x:c>
      <x:c r="G116" s="83" t="n">
        <x:f>E116*F116</x:f>
        <x:v>2</x:v>
      </x:c>
      <x:c r="H116" s="83" t="n">
        <x:v>11.02</x:v>
      </x:c>
      <x:c r="I116" s="83" t="n">
        <x:f>IF(H116="","",G116*H116)</x:f>
        <x:v>22.04</x:v>
      </x:c>
      <x:c r="J116" s="26" t="str">
        <x:v>Л.28, PDF 29</x:v>
      </x:c>
      <x:c r="K116" s="26" t="str">
        <x:v>Геометрия частичная; контроль по вкладке 07.</x:v>
      </x:c>
    </x:row>
    <x:row r="117" ht="46" customHeight="1">
      <x:c r="A117" s="22" t="str">
        <x:v>МУ 18</x:v>
      </x:c>
      <x:c r="B117" s="22" t="str"/>
      <x:c r="C117" s="22" t="str">
        <x:v>Бетон В 20</x:v>
      </x:c>
      <x:c r="D117" s="22" t="str">
        <x:v>м³</x:v>
      </x:c>
      <x:c r="E117" s="85" t="n">
        <x:v>1.75</x:v>
      </x:c>
      <x:c r="F117" s="86" t="n">
        <x:v>1</x:v>
      </x:c>
      <x:c r="G117" s="85" t="n">
        <x:f>E117*F117</x:f>
        <x:v>1.75</x:v>
      </x:c>
      <x:c r="H117" s="85"/>
      <x:c r="I117" s="85" t="str">
        <x:f>IF(H117="","",G117*H117)</x:f>
      </x:c>
      <x:c r="J117" s="22" t="str">
        <x:v>Л.28, PDF 29</x:v>
      </x:c>
      <x:c r="K117" s="22" t="str">
        <x:v>Исходная строка РД; не масса смонтированной конструкции.</x:v>
      </x:c>
    </x:row>
    <x:row r="118" ht="46" customHeight="1">
      <x:c r="A118" s="26" t="str">
        <x:v>МУ 18</x:v>
      </x:c>
      <x:c r="B118" s="26" t="str"/>
      <x:c r="C118" s="26" t="str">
        <x:v>Профлист Н 75-750-0,8</x:v>
      </x:c>
      <x:c r="D118" s="26" t="str">
        <x:v>м²</x:v>
      </x:c>
      <x:c r="E118" s="83" t="n">
        <x:v>8.83</x:v>
      </x:c>
      <x:c r="F118" s="84" t="n">
        <x:v>1</x:v>
      </x:c>
      <x:c r="G118" s="83" t="n">
        <x:f>E118*F118</x:f>
        <x:v>8.83</x:v>
      </x:c>
      <x:c r="H118" s="83"/>
      <x:c r="I118" s="83" t="str">
        <x:f>IF(H118="","",G118*H118)</x:f>
      </x:c>
      <x:c r="J118" s="26" t="str">
        <x:v>Л.28, PDF 29</x:v>
      </x:c>
      <x:c r="K118" s="26" t="str">
        <x:v>Исходная строка РД; не масса смонтированной конструкции.</x:v>
      </x:c>
    </x:row>
    <x:row r="119" ht="46" customHeight="1">
      <x:c r="A119" s="22" t="str">
        <x:v>МУ 19</x:v>
      </x:c>
      <x:c r="B119" s="22" t="str">
        <x:v>Б 1</x:v>
      </x:c>
      <x:c r="C119" s="22" t="str">
        <x:v>Балка металлическая Б 1</x:v>
      </x:c>
      <x:c r="D119" s="22" t="str">
        <x:v>шт.</x:v>
      </x:c>
      <x:c r="E119" s="85" t="n">
        <x:v>2</x:v>
      </x:c>
      <x:c r="F119" s="86" t="n">
        <x:v>1</x:v>
      </x:c>
      <x:c r="G119" s="85" t="n">
        <x:f>E119*F119</x:f>
        <x:v>2</x:v>
      </x:c>
      <x:c r="H119" s="85"/>
      <x:c r="I119" s="85" t="str">
        <x:f>IF(H119="","",G119*H119)</x:f>
      </x:c>
      <x:c r="J119" s="22" t="str">
        <x:v>Л.30, PDF 31</x:v>
      </x:c>
      <x:c r="K119" s="22" t="str">
        <x:v>Сборка Б1. Состав/масса только на вкладке 04; здесь массу не суммировать.</x:v>
      </x:c>
    </x:row>
    <x:row r="120" ht="46" customHeight="1">
      <x:c r="A120" s="26" t="str">
        <x:v>МУ 19</x:v>
      </x:c>
      <x:c r="B120" s="26" t="str">
        <x:v>4</x:v>
      </x:c>
      <x:c r="C120" s="26" t="str">
        <x:v>12- А 500 С , L =5740</x:v>
      </x:c>
      <x:c r="D120" s="26" t="str">
        <x:v>шт.</x:v>
      </x:c>
      <x:c r="E120" s="83" t="n">
        <x:v>10</x:v>
      </x:c>
      <x:c r="F120" s="84" t="n">
        <x:v>1</x:v>
      </x:c>
      <x:c r="G120" s="83" t="n">
        <x:f>E120*F120</x:f>
        <x:v>10</x:v>
      </x:c>
      <x:c r="H120" s="83" t="n">
        <x:v>5.1</x:v>
      </x:c>
      <x:c r="I120" s="83" t="n">
        <x:f>IF(H120="","",G120*H120)</x:f>
        <x:v>51</x:v>
      </x:c>
      <x:c r="J120" s="26" t="str">
        <x:v>Л.30, PDF 31</x:v>
      </x:c>
      <x:c r="K120" s="26" t="str">
        <x:v>Исходная строка РД; не масса смонтированной конструкции.</x:v>
      </x:c>
    </x:row>
    <x:row r="121" ht="46" customHeight="1">
      <x:c r="A121" s="22" t="str">
        <x:v>МУ 19</x:v>
      </x:c>
      <x:c r="B121" s="22" t="str">
        <x:v>КР 1</x:v>
      </x:c>
      <x:c r="C121" s="22" t="str">
        <x:v>Каркас КР 1</x:v>
      </x:c>
      <x:c r="D121" s="22" t="str">
        <x:v>шт.</x:v>
      </x:c>
      <x:c r="E121" s="85" t="n">
        <x:v>31</x:v>
      </x:c>
      <x:c r="F121" s="86" t="n">
        <x:v>1</x:v>
      </x:c>
      <x:c r="G121" s="85" t="n">
        <x:f>E121*F121</x:f>
        <x:v>31</x:v>
      </x:c>
      <x:c r="H121" s="85"/>
      <x:c r="I121" s="85" t="str">
        <x:f>IF(H121="","",G121*H121)</x:f>
      </x:c>
      <x:c r="J121" s="22" t="str">
        <x:v>Л.30, PDF 31</x:v>
      </x:c>
      <x:c r="K121" s="22" t="str">
        <x:v>В РД; полная пространственная раскладка не смоделирована.</x:v>
      </x:c>
    </x:row>
    <x:row r="122" ht="46" customHeight="1">
      <x:c r="A122" s="26" t="str">
        <x:v>МУ 19</x:v>
      </x:c>
      <x:c r="B122" s="26" t="str">
        <x:v>1</x:v>
      </x:c>
      <x:c r="C122" s="26" t="str">
        <x:v>Уголок 75х5ГОСТ 8509-93 С245 ГОСТ 27772-2015 L=1750</x:v>
      </x:c>
      <x:c r="D122" s="26" t="str">
        <x:v>шт.</x:v>
      </x:c>
      <x:c r="E122" s="83" t="n">
        <x:v>2</x:v>
      </x:c>
      <x:c r="F122" s="84" t="n">
        <x:v>1</x:v>
      </x:c>
      <x:c r="G122" s="83" t="n">
        <x:f>E122*F122</x:f>
        <x:v>2</x:v>
      </x:c>
      <x:c r="H122" s="83" t="n">
        <x:v>10.15</x:v>
      </x:c>
      <x:c r="I122" s="83" t="n">
        <x:f>IF(H122="","",G122*H122)</x:f>
        <x:v>20.3</x:v>
      </x:c>
      <x:c r="J122" s="26" t="str">
        <x:v>Л.30, PDF 31</x:v>
      </x:c>
      <x:c r="K122" s="26" t="str">
        <x:v>Геометрия частичная; контроль по вкладке 07.</x:v>
      </x:c>
    </x:row>
    <x:row r="123" ht="46" customHeight="1">
      <x:c r="A123" s="22" t="str">
        <x:v>МУ 19</x:v>
      </x:c>
      <x:c r="B123" s="22" t="str">
        <x:v>2</x:v>
      </x:c>
      <x:c r="C123" s="22" t="str">
        <x:v>Уголок 75х5ГОСТ 8509-93 С245 ГОСТ 27772-2015 L= 1050</x:v>
      </x:c>
      <x:c r="D123" s="22" t="str">
        <x:v>шт.</x:v>
      </x:c>
      <x:c r="E123" s="85" t="n">
        <x:v>2</x:v>
      </x:c>
      <x:c r="F123" s="86" t="n">
        <x:v>1</x:v>
      </x:c>
      <x:c r="G123" s="85" t="n">
        <x:f>E123*F123</x:f>
        <x:v>2</x:v>
      </x:c>
      <x:c r="H123" s="85" t="n">
        <x:v>6.09</x:v>
      </x:c>
      <x:c r="I123" s="85" t="n">
        <x:f>IF(H123="","",G123*H123)</x:f>
        <x:v>12.18</x:v>
      </x:c>
      <x:c r="J123" s="22" t="str">
        <x:v>Л.30, PDF 31</x:v>
      </x:c>
      <x:c r="K123" s="22" t="str">
        <x:v>Геометрия частичная; контроль по вкладке 07.</x:v>
      </x:c>
    </x:row>
    <x:row r="124" ht="46" customHeight="1">
      <x:c r="A124" s="26" t="str">
        <x:v>МУ 19</x:v>
      </x:c>
      <x:c r="B124" s="26" t="str">
        <x:v>3</x:v>
      </x:c>
      <x:c r="C124" s="26" t="str">
        <x:v>Уголок 75х5ГОСТ 8509-93 С245 ГОСТ 27772-2015 L= 1525</x:v>
      </x:c>
      <x:c r="D124" s="26" t="str">
        <x:v>шт.</x:v>
      </x:c>
      <x:c r="E124" s="83" t="n">
        <x:v>2</x:v>
      </x:c>
      <x:c r="F124" s="84" t="n">
        <x:v>1</x:v>
      </x:c>
      <x:c r="G124" s="83" t="n">
        <x:f>E124*F124</x:f>
        <x:v>2</x:v>
      </x:c>
      <x:c r="H124" s="83" t="n">
        <x:v>8.85</x:v>
      </x:c>
      <x:c r="I124" s="83" t="n">
        <x:f>IF(H124="","",G124*H124)</x:f>
        <x:v>17.7</x:v>
      </x:c>
      <x:c r="J124" s="26" t="str">
        <x:v>Л.30, PDF 31</x:v>
      </x:c>
      <x:c r="K124" s="26" t="str">
        <x:v>Геометрия частичная; контроль по вкладке 07.</x:v>
      </x:c>
    </x:row>
    <x:row r="125" ht="46" customHeight="1">
      <x:c r="A125" s="22" t="str">
        <x:v>МУ 19</x:v>
      </x:c>
      <x:c r="B125" s="22" t="str"/>
      <x:c r="C125" s="22" t="str">
        <x:v>Бетон В 20</x:v>
      </x:c>
      <x:c r="D125" s="22" t="str">
        <x:v>м³</x:v>
      </x:c>
      <x:c r="E125" s="85" t="n">
        <x:v>1.75</x:v>
      </x:c>
      <x:c r="F125" s="86" t="n">
        <x:v>1</x:v>
      </x:c>
      <x:c r="G125" s="85" t="n">
        <x:f>E125*F125</x:f>
        <x:v>1.75</x:v>
      </x:c>
      <x:c r="H125" s="85"/>
      <x:c r="I125" s="85" t="str">
        <x:f>IF(H125="","",G125*H125)</x:f>
      </x:c>
      <x:c r="J125" s="22" t="str">
        <x:v>Л.30, PDF 31</x:v>
      </x:c>
      <x:c r="K125" s="22" t="str">
        <x:v>Исходная строка РД; не масса смонтированной конструкции.</x:v>
      </x:c>
    </x:row>
    <x:row r="126" ht="46" customHeight="1">
      <x:c r="A126" s="26" t="str">
        <x:v>МУ 19</x:v>
      </x:c>
      <x:c r="B126" s="26" t="str"/>
      <x:c r="C126" s="26" t="str">
        <x:v>Профлист Н 75-750-0,8</x:v>
      </x:c>
      <x:c r="D126" s="26" t="str">
        <x:v>м²</x:v>
      </x:c>
      <x:c r="E126" s="83" t="n">
        <x:v>9.29</x:v>
      </x:c>
      <x:c r="F126" s="84" t="n">
        <x:v>1</x:v>
      </x:c>
      <x:c r="G126" s="83" t="n">
        <x:f>E126*F126</x:f>
        <x:v>9.29</x:v>
      </x:c>
      <x:c r="H126" s="83"/>
      <x:c r="I126" s="83" t="str">
        <x:f>IF(H126="","",G126*H126)</x:f>
      </x:c>
      <x:c r="J126" s="26" t="str">
        <x:v>Л.30, PDF 31</x:v>
      </x:c>
      <x:c r="K126" s="26" t="str">
        <x:v>Исходная строка РД; не масса смонтированной конструкции.</x:v>
      </x:c>
    </x:row>
    <x:row r="127" ht="46" customHeight="1">
      <x:c r="A127" s="22" t="str">
        <x:v>МУ 20</x:v>
      </x:c>
      <x:c r="B127" s="22" t="str">
        <x:v>Б 1</x:v>
      </x:c>
      <x:c r="C127" s="22" t="str">
        <x:v>Балка металлическая Б 1</x:v>
      </x:c>
      <x:c r="D127" s="22" t="str">
        <x:v>шт.</x:v>
      </x:c>
      <x:c r="E127" s="85" t="n">
        <x:v>2</x:v>
      </x:c>
      <x:c r="F127" s="86" t="n">
        <x:v>1</x:v>
      </x:c>
      <x:c r="G127" s="85" t="n">
        <x:f>E127*F127</x:f>
        <x:v>2</x:v>
      </x:c>
      <x:c r="H127" s="85"/>
      <x:c r="I127" s="85" t="str">
        <x:f>IF(H127="","",G127*H127)</x:f>
      </x:c>
      <x:c r="J127" s="22" t="str">
        <x:v>Л.30, PDF 31</x:v>
      </x:c>
      <x:c r="K127" s="22" t="str">
        <x:v>Сборка Б1. Состав/масса только на вкладке 04; здесь массу не суммировать.</x:v>
      </x:c>
    </x:row>
    <x:row r="128" ht="46" customHeight="1">
      <x:c r="A128" s="26" t="str">
        <x:v>МУ 20</x:v>
      </x:c>
      <x:c r="B128" s="26" t="str">
        <x:v>8</x:v>
      </x:c>
      <x:c r="C128" s="26" t="str">
        <x:v>12- А 500 С , L =5740</x:v>
      </x:c>
      <x:c r="D128" s="26" t="str">
        <x:v>шт.</x:v>
      </x:c>
      <x:c r="E128" s="83" t="n">
        <x:v>10</x:v>
      </x:c>
      <x:c r="F128" s="84" t="n">
        <x:v>1</x:v>
      </x:c>
      <x:c r="G128" s="83" t="n">
        <x:f>E128*F128</x:f>
        <x:v>10</x:v>
      </x:c>
      <x:c r="H128" s="83" t="n">
        <x:v>5.1</x:v>
      </x:c>
      <x:c r="I128" s="83" t="n">
        <x:f>IF(H128="","",G128*H128)</x:f>
        <x:v>51</x:v>
      </x:c>
      <x:c r="J128" s="26" t="str">
        <x:v>Л.30, PDF 31</x:v>
      </x:c>
      <x:c r="K128" s="26" t="str">
        <x:v>Исходная строка РД; не масса смонтированной конструкции.</x:v>
      </x:c>
    </x:row>
    <x:row r="129" ht="46" customHeight="1">
      <x:c r="A129" s="22" t="str">
        <x:v>МУ 20</x:v>
      </x:c>
      <x:c r="B129" s="22" t="str">
        <x:v>КР 1</x:v>
      </x:c>
      <x:c r="C129" s="22" t="str">
        <x:v>Каркас КР 1</x:v>
      </x:c>
      <x:c r="D129" s="22" t="str">
        <x:v>шт.</x:v>
      </x:c>
      <x:c r="E129" s="85" t="n">
        <x:v>31</x:v>
      </x:c>
      <x:c r="F129" s="86" t="n">
        <x:v>1</x:v>
      </x:c>
      <x:c r="G129" s="85" t="n">
        <x:f>E129*F129</x:f>
        <x:v>31</x:v>
      </x:c>
      <x:c r="H129" s="85"/>
      <x:c r="I129" s="85" t="str">
        <x:f>IF(H129="","",G129*H129)</x:f>
      </x:c>
      <x:c r="J129" s="22" t="str">
        <x:v>Л.30, PDF 31</x:v>
      </x:c>
      <x:c r="K129" s="22" t="str">
        <x:v>В РД; полная пространственная раскладка не смоделирована.</x:v>
      </x:c>
    </x:row>
    <x:row r="130" ht="46" customHeight="1">
      <x:c r="A130" s="26" t="str">
        <x:v>МУ 20</x:v>
      </x:c>
      <x:c r="B130" s="26" t="str">
        <x:v>5</x:v>
      </x:c>
      <x:c r="C130" s="26" t="str">
        <x:v>Уголок 75х5ГОСТ 8509-93 С245 ГОСТ 27772-2015 L=1750</x:v>
      </x:c>
      <x:c r="D130" s="26" t="str">
        <x:v>шт.</x:v>
      </x:c>
      <x:c r="E130" s="83" t="n">
        <x:v>4</x:v>
      </x:c>
      <x:c r="F130" s="84" t="n">
        <x:v>1</x:v>
      </x:c>
      <x:c r="G130" s="83" t="n">
        <x:f>E130*F130</x:f>
        <x:v>4</x:v>
      </x:c>
      <x:c r="H130" s="83" t="n">
        <x:v>10.15</x:v>
      </x:c>
      <x:c r="I130" s="83" t="n">
        <x:f>IF(H130="","",G130*H130)</x:f>
        <x:v>40.6</x:v>
      </x:c>
      <x:c r="J130" s="26" t="str">
        <x:v>Л.30, PDF 31</x:v>
      </x:c>
      <x:c r="K130" s="26" t="str">
        <x:v>Геометрия частичная; контроль по вкладке 07.</x:v>
      </x:c>
    </x:row>
    <x:row r="131" ht="46" customHeight="1">
      <x:c r="A131" s="22" t="str">
        <x:v>МУ 20</x:v>
      </x:c>
      <x:c r="B131" s="22" t="str">
        <x:v>6</x:v>
      </x:c>
      <x:c r="C131" s="22" t="str">
        <x:v>Уголок 75х5ГОСТ 8509-93 С245 ГОСТ 27772-2015 L= 400</x:v>
      </x:c>
      <x:c r="D131" s="22" t="str">
        <x:v>шт.</x:v>
      </x:c>
      <x:c r="E131" s="85" t="n">
        <x:v>2</x:v>
      </x:c>
      <x:c r="F131" s="86" t="n">
        <x:v>1</x:v>
      </x:c>
      <x:c r="G131" s="85" t="n">
        <x:f>E131*F131</x:f>
        <x:v>2</x:v>
      </x:c>
      <x:c r="H131" s="85" t="n">
        <x:v>2.32</x:v>
      </x:c>
      <x:c r="I131" s="85" t="n">
        <x:f>IF(H131="","",G131*H131)</x:f>
        <x:v>4.64</x:v>
      </x:c>
      <x:c r="J131" s="22" t="str">
        <x:v>Л.30, PDF 31</x:v>
      </x:c>
      <x:c r="K131" s="22" t="str">
        <x:v>Геометрия частичная; контроль по вкладке 07.</x:v>
      </x:c>
    </x:row>
    <x:row r="132" ht="46" customHeight="1">
      <x:c r="A132" s="26" t="str">
        <x:v>МУ 20</x:v>
      </x:c>
      <x:c r="B132" s="26" t="str">
        <x:v>7</x:v>
      </x:c>
      <x:c r="C132" s="26" t="str">
        <x:v>Уголок 75х5ГОСТ 8509-93 С245 ГОСТ 27772-2015 L= 900</x:v>
      </x:c>
      <x:c r="D132" s="26" t="str">
        <x:v>шт.</x:v>
      </x:c>
      <x:c r="E132" s="83" t="n">
        <x:v>2</x:v>
      </x:c>
      <x:c r="F132" s="84" t="n">
        <x:v>1</x:v>
      </x:c>
      <x:c r="G132" s="83" t="n">
        <x:f>E132*F132</x:f>
        <x:v>2</x:v>
      </x:c>
      <x:c r="H132" s="83" t="n">
        <x:v>5.22</x:v>
      </x:c>
      <x:c r="I132" s="83" t="n">
        <x:f>IF(H132="","",G132*H132)</x:f>
        <x:v>10.44</x:v>
      </x:c>
      <x:c r="J132" s="26" t="str">
        <x:v>Л.30, PDF 31</x:v>
      </x:c>
      <x:c r="K132" s="26" t="str">
        <x:v>Геометрия частичная; контроль по вкладке 07.</x:v>
      </x:c>
    </x:row>
    <x:row r="133" ht="46" customHeight="1">
      <x:c r="A133" s="22" t="str">
        <x:v>МУ 20</x:v>
      </x:c>
      <x:c r="B133" s="22" t="str"/>
      <x:c r="C133" s="22" t="str">
        <x:v>Бетон В 20</x:v>
      </x:c>
      <x:c r="D133" s="22" t="str">
        <x:v>м³</x:v>
      </x:c>
      <x:c r="E133" s="85" t="n">
        <x:v>1.75</x:v>
      </x:c>
      <x:c r="F133" s="86" t="n">
        <x:v>1</x:v>
      </x:c>
      <x:c r="G133" s="85" t="n">
        <x:f>E133*F133</x:f>
        <x:v>1.75</x:v>
      </x:c>
      <x:c r="H133" s="85"/>
      <x:c r="I133" s="85" t="str">
        <x:f>IF(H133="","",G133*H133)</x:f>
      </x:c>
      <x:c r="J133" s="22" t="str">
        <x:v>Л.30, PDF 31</x:v>
      </x:c>
      <x:c r="K133" s="22" t="str">
        <x:v>Исходная строка РД; не масса смонтированной конструкции.</x:v>
      </x:c>
    </x:row>
    <x:row r="134" ht="46" customHeight="1">
      <x:c r="A134" s="26" t="str">
        <x:v>МУ 20</x:v>
      </x:c>
      <x:c r="B134" s="26" t="str"/>
      <x:c r="C134" s="26" t="str">
        <x:v>Профлист Н 75-750-0,8</x:v>
      </x:c>
      <x:c r="D134" s="26" t="str">
        <x:v>м²</x:v>
      </x:c>
      <x:c r="E134" s="83" t="n">
        <x:v>9.65</x:v>
      </x:c>
      <x:c r="F134" s="84" t="n">
        <x:v>1</x:v>
      </x:c>
      <x:c r="G134" s="83" t="n">
        <x:f>E134*F134</x:f>
        <x:v>9.65</x:v>
      </x:c>
      <x:c r="H134" s="83"/>
      <x:c r="I134" s="83" t="str">
        <x:f>IF(H134="","",G134*H134)</x:f>
      </x:c>
      <x:c r="J134" s="26" t="str">
        <x:v>Л.30, PDF 31</x:v>
      </x:c>
      <x:c r="K134" s="26" t="str">
        <x:v>Исходная строка РД; не масса смонтированной конструкции.</x:v>
      </x:c>
    </x:row>
    <x:row r="135" ht="46" customHeight="1">
      <x:c r="A135" s="22" t="str">
        <x:v>МУ 21</x:v>
      </x:c>
      <x:c r="B135" s="22" t="str">
        <x:v>Б 1</x:v>
      </x:c>
      <x:c r="C135" s="22" t="str">
        <x:v>Балка металлическая Б 1</x:v>
      </x:c>
      <x:c r="D135" s="22" t="str">
        <x:v>шт.</x:v>
      </x:c>
      <x:c r="E135" s="85" t="n">
        <x:v>2</x:v>
      </x:c>
      <x:c r="F135" s="86" t="n">
        <x:v>1</x:v>
      </x:c>
      <x:c r="G135" s="85" t="n">
        <x:f>E135*F135</x:f>
        <x:v>2</x:v>
      </x:c>
      <x:c r="H135" s="85"/>
      <x:c r="I135" s="85" t="str">
        <x:f>IF(H135="","",G135*H135)</x:f>
      </x:c>
      <x:c r="J135" s="22" t="str">
        <x:v>Л.31, PDF 32</x:v>
      </x:c>
      <x:c r="K135" s="22" t="str">
        <x:v>Сборка Б1. Состав/масса только на вкладке 04; здесь массу не суммировать.</x:v>
      </x:c>
    </x:row>
    <x:row r="136" ht="46" customHeight="1">
      <x:c r="A136" s="26" t="str">
        <x:v>МУ 21</x:v>
      </x:c>
      <x:c r="B136" s="26" t="str">
        <x:v>3</x:v>
      </x:c>
      <x:c r="C136" s="26" t="str">
        <x:v>12- А 500 С , L =5740</x:v>
      </x:c>
      <x:c r="D136" s="26" t="str">
        <x:v>шт.</x:v>
      </x:c>
      <x:c r="E136" s="83" t="n">
        <x:v>10</x:v>
      </x:c>
      <x:c r="F136" s="84" t="n">
        <x:v>1</x:v>
      </x:c>
      <x:c r="G136" s="83" t="n">
        <x:f>E136*F136</x:f>
        <x:v>10</x:v>
      </x:c>
      <x:c r="H136" s="83" t="n">
        <x:v>5.1</x:v>
      </x:c>
      <x:c r="I136" s="83" t="n">
        <x:f>IF(H136="","",G136*H136)</x:f>
        <x:v>51</x:v>
      </x:c>
      <x:c r="J136" s="26" t="str">
        <x:v>Л.31, PDF 32</x:v>
      </x:c>
      <x:c r="K136" s="26" t="str">
        <x:v>Исходная строка РД; не масса смонтированной конструкции.</x:v>
      </x:c>
    </x:row>
    <x:row r="137" ht="46" customHeight="1">
      <x:c r="A137" s="22" t="str">
        <x:v>МУ 21</x:v>
      </x:c>
      <x:c r="B137" s="22" t="str">
        <x:v>КР 1</x:v>
      </x:c>
      <x:c r="C137" s="22" t="str">
        <x:v>Каркас КР 1</x:v>
      </x:c>
      <x:c r="D137" s="22" t="str">
        <x:v>шт.</x:v>
      </x:c>
      <x:c r="E137" s="85" t="n">
        <x:v>31</x:v>
      </x:c>
      <x:c r="F137" s="86" t="n">
        <x:v>1</x:v>
      </x:c>
      <x:c r="G137" s="85" t="n">
        <x:f>E137*F137</x:f>
        <x:v>31</x:v>
      </x:c>
      <x:c r="H137" s="85"/>
      <x:c r="I137" s="85" t="str">
        <x:f>IF(H137="","",G137*H137)</x:f>
      </x:c>
      <x:c r="J137" s="22" t="str">
        <x:v>Л.31, PDF 32</x:v>
      </x:c>
      <x:c r="K137" s="22" t="str">
        <x:v>В РД; полная пространственная раскладка не смоделирована.</x:v>
      </x:c>
    </x:row>
    <x:row r="138" ht="46" customHeight="1">
      <x:c r="A138" s="26" t="str">
        <x:v>МУ 21</x:v>
      </x:c>
      <x:c r="B138" s="26" t="str">
        <x:v>1</x:v>
      </x:c>
      <x:c r="C138" s="26" t="str">
        <x:v>Уголок 75х5ГОСТ 8509-93 С245 ГОСТ 27772-2015 L=1750</x:v>
      </x:c>
      <x:c r="D138" s="26" t="str">
        <x:v>шт.</x:v>
      </x:c>
      <x:c r="E138" s="83" t="n">
        <x:v>2</x:v>
      </x:c>
      <x:c r="F138" s="84" t="n">
        <x:v>1</x:v>
      </x:c>
      <x:c r="G138" s="83" t="n">
        <x:f>E138*F138</x:f>
        <x:v>2</x:v>
      </x:c>
      <x:c r="H138" s="83" t="n">
        <x:v>10.15</x:v>
      </x:c>
      <x:c r="I138" s="83" t="n">
        <x:f>IF(H138="","",G138*H138)</x:f>
        <x:v>20.3</x:v>
      </x:c>
      <x:c r="J138" s="26" t="str">
        <x:v>Л.31, PDF 32</x:v>
      </x:c>
      <x:c r="K138" s="26" t="str">
        <x:v>Геометрия частичная; контроль по вкладке 07.</x:v>
      </x:c>
    </x:row>
    <x:row r="139" ht="46" customHeight="1">
      <x:c r="A139" s="22" t="str">
        <x:v>МУ 21</x:v>
      </x:c>
      <x:c r="B139" s="22" t="str">
        <x:v>2</x:v>
      </x:c>
      <x:c r="C139" s="22" t="str">
        <x:v>Уголок 75х5ГОСТ 8509-93 С245 ГОСТ 27772-2015 L= 300</x:v>
      </x:c>
      <x:c r="D139" s="22" t="str">
        <x:v>шт.</x:v>
      </x:c>
      <x:c r="E139" s="85" t="n">
        <x:v>2</x:v>
      </x:c>
      <x:c r="F139" s="86" t="n">
        <x:v>1</x:v>
      </x:c>
      <x:c r="G139" s="85" t="n">
        <x:f>E139*F139</x:f>
        <x:v>2</x:v>
      </x:c>
      <x:c r="H139" s="85" t="n">
        <x:v>1.74</x:v>
      </x:c>
      <x:c r="I139" s="85" t="n">
        <x:f>IF(H139="","",G139*H139)</x:f>
        <x:v>3.48</x:v>
      </x:c>
      <x:c r="J139" s="22" t="str">
        <x:v>Л.31, PDF 32</x:v>
      </x:c>
      <x:c r="K139" s="22" t="str">
        <x:v>Геометрия частичная; контроль по вкладке 07.</x:v>
      </x:c>
    </x:row>
    <x:row r="140" ht="46" customHeight="1">
      <x:c r="A140" s="26" t="str">
        <x:v>МУ 21</x:v>
      </x:c>
      <x:c r="B140" s="26" t="str"/>
      <x:c r="C140" s="26" t="str">
        <x:v>Бетон В 20</x:v>
      </x:c>
      <x:c r="D140" s="26" t="str">
        <x:v>м³</x:v>
      </x:c>
      <x:c r="E140" s="83" t="n">
        <x:v>1.75</x:v>
      </x:c>
      <x:c r="F140" s="84" t="n">
        <x:v>1</x:v>
      </x:c>
      <x:c r="G140" s="83" t="n">
        <x:f>E140*F140</x:f>
        <x:v>1.75</x:v>
      </x:c>
      <x:c r="H140" s="83"/>
      <x:c r="I140" s="83" t="str">
        <x:f>IF(H140="","",G140*H140)</x:f>
      </x:c>
      <x:c r="J140" s="26" t="str">
        <x:v>Л.31, PDF 32</x:v>
      </x:c>
      <x:c r="K140" s="26" t="str">
        <x:v>Исходная строка РД; не масса смонтированной конструкции.</x:v>
      </x:c>
    </x:row>
    <x:row r="141" ht="46" customHeight="1">
      <x:c r="A141" s="22" t="str">
        <x:v>МУ 21</x:v>
      </x:c>
      <x:c r="B141" s="22" t="str"/>
      <x:c r="C141" s="22" t="str">
        <x:v>Профлист Н 75-750-0,8</x:v>
      </x:c>
      <x:c r="D141" s="22" t="str">
        <x:v>м²</x:v>
      </x:c>
      <x:c r="E141" s="85" t="n">
        <x:v>10.34</x:v>
      </x:c>
      <x:c r="F141" s="86" t="n">
        <x:v>1</x:v>
      </x:c>
      <x:c r="G141" s="85" t="n">
        <x:f>E141*F141</x:f>
        <x:v>10.34</x:v>
      </x:c>
      <x:c r="H141" s="85"/>
      <x:c r="I141" s="85" t="str">
        <x:f>IF(H141="","",G141*H141)</x:f>
      </x:c>
      <x:c r="J141" s="22" t="str">
        <x:v>Л.31, PDF 32</x:v>
      </x:c>
      <x:c r="K141" s="22" t="str">
        <x:v>Исходная строка РД; не масса смонтированной конструкции.</x:v>
      </x:c>
    </x:row>
    <x:row r="142" ht="46" customHeight="1">
      <x:c r="A142" s="26" t="str">
        <x:v>МУ 22</x:v>
      </x:c>
      <x:c r="B142" s="26" t="str">
        <x:v>4</x:v>
      </x:c>
      <x:c r="C142" s="26" t="str">
        <x:v>16 - А 500 С , м.п</x:v>
      </x:c>
      <x:c r="D142" s="26" t="str">
        <x:v>п.м</x:v>
      </x:c>
      <x:c r="E142" s="83" t="n">
        <x:v>34.5</x:v>
      </x:c>
      <x:c r="F142" s="84" t="n">
        <x:v>1</x:v>
      </x:c>
      <x:c r="G142" s="83" t="n">
        <x:f>E142*F142</x:f>
        <x:v>34.5</x:v>
      </x:c>
      <x:c r="H142" s="83" t="n">
        <x:v>1.578</x:v>
      </x:c>
      <x:c r="I142" s="83" t="n">
        <x:f>IF(H142="","",G142*H142)</x:f>
        <x:v>54.441</x:v>
      </x:c>
      <x:c r="J142" s="26" t="str">
        <x:v>Л.31, PDF 32</x:v>
      </x:c>
      <x:c r="K142" s="26" t="str">
        <x:v>Исходная строка РД; не масса смонтированной конструкции.</x:v>
      </x:c>
    </x:row>
    <x:row r="143" ht="46" customHeight="1">
      <x:c r="A143" s="22" t="str">
        <x:v>МУ 22</x:v>
      </x:c>
      <x:c r="B143" s="22" t="str">
        <x:v>П 1</x:v>
      </x:c>
      <x:c r="C143" s="22" t="str">
        <x:v>12- А 500 С , L =1315</x:v>
      </x:c>
      <x:c r="D143" s="22" t="str">
        <x:v>шт.</x:v>
      </x:c>
      <x:c r="E143" s="85" t="n">
        <x:v>6</x:v>
      </x:c>
      <x:c r="F143" s="86" t="n">
        <x:v>1</x:v>
      </x:c>
      <x:c r="G143" s="85" t="n">
        <x:f>E143*F143</x:f>
        <x:v>6</x:v>
      </x:c>
      <x:c r="H143" s="85" t="n">
        <x:v>1.17</x:v>
      </x:c>
      <x:c r="I143" s="85" t="n">
        <x:f>IF(H143="","",G143*H143)</x:f>
        <x:v>7.02</x:v>
      </x:c>
      <x:c r="J143" s="22" t="str">
        <x:v>Л.31, PDF 32</x:v>
      </x:c>
      <x:c r="K143" s="22" t="str">
        <x:v>Исходная строка РД; не масса смонтированной конструкции.</x:v>
      </x:c>
    </x:row>
    <x:row r="144" ht="46" customHeight="1">
      <x:c r="A144" s="26" t="str">
        <x:v>МУ 22</x:v>
      </x:c>
      <x:c r="B144" s="26" t="str">
        <x:v>Х 1</x:v>
      </x:c>
      <x:c r="C144" s="26" t="str">
        <x:v>10- А 500 С , L =860</x:v>
      </x:c>
      <x:c r="D144" s="26" t="str">
        <x:v>шт.</x:v>
      </x:c>
      <x:c r="E144" s="83" t="n">
        <x:v>112</x:v>
      </x:c>
      <x:c r="F144" s="84" t="n">
        <x:v>1</x:v>
      </x:c>
      <x:c r="G144" s="83" t="n">
        <x:f>E144*F144</x:f>
        <x:v>112</x:v>
      </x:c>
      <x:c r="H144" s="83" t="n">
        <x:v>0.51</x:v>
      </x:c>
      <x:c r="I144" s="83" t="n">
        <x:f>IF(H144="","",G144*H144)</x:f>
        <x:v>57.120000000000005</x:v>
      </x:c>
      <x:c r="J144" s="26" t="str">
        <x:v>Л.31, PDF 32</x:v>
      </x:c>
      <x:c r="K144" s="26" t="str">
        <x:v>Исходная строка РД; не масса смонтированной конструкции.</x:v>
      </x:c>
    </x:row>
    <x:row r="145" ht="46" customHeight="1">
      <x:c r="A145" s="22" t="str">
        <x:v>МУ 22</x:v>
      </x:c>
      <x:c r="B145" s="22" t="str"/>
      <x:c r="C145" s="22" t="str">
        <x:v>Бетон В 20</x:v>
      </x:c>
      <x:c r="D145" s="22" t="str">
        <x:v>м³</x:v>
      </x:c>
      <x:c r="E145" s="85" t="n">
        <x:v>0.64</x:v>
      </x:c>
      <x:c r="F145" s="86" t="n">
        <x:v>1</x:v>
      </x:c>
      <x:c r="G145" s="85" t="n">
        <x:f>E145*F145</x:f>
        <x:v>0.64</x:v>
      </x:c>
      <x:c r="H145" s="85"/>
      <x:c r="I145" s="85" t="str">
        <x:f>IF(H145="","",G145*H145)</x:f>
      </x:c>
      <x:c r="J145" s="22" t="str">
        <x:v>Л.31, PDF 32</x:v>
      </x:c>
      <x:c r="K145" s="22" t="str">
        <x:v>Исходная строка РД; не масса смонтированной конструкции.</x:v>
      </x:c>
    </x:row>
    <x:row r="146" ht="46" customHeight="1">
      <x:c r="A146" s="26" t="str">
        <x:v>МУ 23</x:v>
      </x:c>
      <x:c r="B146" s="26" t="str">
        <x:v>Б 1</x:v>
      </x:c>
      <x:c r="C146" s="26" t="str">
        <x:v>Балка металлическая Б 1</x:v>
      </x:c>
      <x:c r="D146" s="26" t="str">
        <x:v>шт.</x:v>
      </x:c>
      <x:c r="E146" s="83" t="n">
        <x:v>2</x:v>
      </x:c>
      <x:c r="F146" s="84" t="n">
        <x:v>1</x:v>
      </x:c>
      <x:c r="G146" s="83" t="n">
        <x:f>E146*F146</x:f>
        <x:v>2</x:v>
      </x:c>
      <x:c r="H146" s="83"/>
      <x:c r="I146" s="83" t="str">
        <x:f>IF(H146="","",G146*H146)</x:f>
      </x:c>
      <x:c r="J146" s="26" t="str">
        <x:v>Л.32, PDF 33</x:v>
      </x:c>
      <x:c r="K146" s="26" t="str">
        <x:v>Сборка Б1. Состав/масса только на вкладке 04; здесь массу не суммировать.</x:v>
      </x:c>
    </x:row>
    <x:row r="147" ht="46" customHeight="1">
      <x:c r="A147" s="22" t="str">
        <x:v>МУ 23</x:v>
      </x:c>
      <x:c r="B147" s="22" t="str">
        <x:v>3</x:v>
      </x:c>
      <x:c r="C147" s="22" t="str">
        <x:v>12- А 500 С , L =5740</x:v>
      </x:c>
      <x:c r="D147" s="22" t="str">
        <x:v>шт.</x:v>
      </x:c>
      <x:c r="E147" s="85" t="n">
        <x:v>10</x:v>
      </x:c>
      <x:c r="F147" s="86" t="n">
        <x:v>1</x:v>
      </x:c>
      <x:c r="G147" s="85" t="n">
        <x:f>E147*F147</x:f>
        <x:v>10</x:v>
      </x:c>
      <x:c r="H147" s="85"/>
      <x:c r="I147" s="85" t="str">
        <x:f>IF(H147="","",G147*H147)</x:f>
      </x:c>
      <x:c r="J147" s="22" t="str">
        <x:v>Л.32, PDF 33</x:v>
      </x:c>
      <x:c r="K147" s="22" t="str">
        <x:v>Исходная строка РД; не масса смонтированной конструкции.</x:v>
      </x:c>
    </x:row>
    <x:row r="148" ht="46" customHeight="1">
      <x:c r="A148" s="26" t="str">
        <x:v>МУ 23</x:v>
      </x:c>
      <x:c r="B148" s="26" t="str">
        <x:v>КР 1</x:v>
      </x:c>
      <x:c r="C148" s="26" t="str">
        <x:v>Каркас КР 1</x:v>
      </x:c>
      <x:c r="D148" s="26" t="str">
        <x:v>шт.</x:v>
      </x:c>
      <x:c r="E148" s="83" t="n">
        <x:v>31</x:v>
      </x:c>
      <x:c r="F148" s="84" t="n">
        <x:v>1</x:v>
      </x:c>
      <x:c r="G148" s="83" t="n">
        <x:f>E148*F148</x:f>
        <x:v>31</x:v>
      </x:c>
      <x:c r="H148" s="83"/>
      <x:c r="I148" s="83" t="str">
        <x:f>IF(H148="","",G148*H148)</x:f>
      </x:c>
      <x:c r="J148" s="26" t="str">
        <x:v>Л.32, PDF 33</x:v>
      </x:c>
      <x:c r="K148" s="26" t="str">
        <x:v>В РД; полная пространственная раскладка не смоделирована.</x:v>
      </x:c>
    </x:row>
    <x:row r="149" ht="46" customHeight="1">
      <x:c r="A149" s="22" t="str">
        <x:v>МУ 23</x:v>
      </x:c>
      <x:c r="B149" s="22" t="str">
        <x:v>1</x:v>
      </x:c>
      <x:c r="C149" s="22" t="str">
        <x:v>Уголок 75х5ГОСТ 8509-93 С245 ГОСТ 27772-2015 L=1750</x:v>
      </x:c>
      <x:c r="D149" s="22" t="str">
        <x:v>шт.</x:v>
      </x:c>
      <x:c r="E149" s="85" t="n">
        <x:v>2</x:v>
      </x:c>
      <x:c r="F149" s="86" t="n">
        <x:v>1</x:v>
      </x:c>
      <x:c r="G149" s="85" t="n">
        <x:f>E149*F149</x:f>
        <x:v>2</x:v>
      </x:c>
      <x:c r="H149" s="85" t="n">
        <x:v>10.15</x:v>
      </x:c>
      <x:c r="I149" s="85" t="n">
        <x:f>IF(H149="","",G149*H149)</x:f>
        <x:v>20.3</x:v>
      </x:c>
      <x:c r="J149" s="22" t="str">
        <x:v>Л.32, PDF 33</x:v>
      </x:c>
      <x:c r="K149" s="22" t="str">
        <x:v>Геометрия частичная; контроль по вкладке 07.</x:v>
      </x:c>
    </x:row>
    <x:row r="150" ht="46" customHeight="1">
      <x:c r="A150" s="26" t="str">
        <x:v>МУ 23</x:v>
      </x:c>
      <x:c r="B150" s="26" t="str">
        <x:v>2</x:v>
      </x:c>
      <x:c r="C150" s="26" t="str">
        <x:v>Уголок 75х5ГОСТ 8509-93 С245 ГОСТ 27772-2015 L=550</x:v>
      </x:c>
      <x:c r="D150" s="26" t="str">
        <x:v>шт.</x:v>
      </x:c>
      <x:c r="E150" s="83" t="n">
        <x:v>1</x:v>
      </x:c>
      <x:c r="F150" s="84" t="n">
        <x:v>1</x:v>
      </x:c>
      <x:c r="G150" s="83" t="n">
        <x:f>E150*F150</x:f>
        <x:v>1</x:v>
      </x:c>
      <x:c r="H150" s="83" t="n">
        <x:v>3.19</x:v>
      </x:c>
      <x:c r="I150" s="83" t="n">
        <x:f>IF(H150="","",G150*H150)</x:f>
        <x:v>3.19</x:v>
      </x:c>
      <x:c r="J150" s="26" t="str">
        <x:v>Л.32, PDF 33</x:v>
      </x:c>
      <x:c r="K150" s="26" t="str">
        <x:v>Геометрия частичная; контроль по вкладке 07.</x:v>
      </x:c>
    </x:row>
    <x:row r="151" ht="46" customHeight="1">
      <x:c r="A151" s="22" t="str">
        <x:v>МУ 23</x:v>
      </x:c>
      <x:c r="B151" s="22" t="str"/>
      <x:c r="C151" s="22" t="str">
        <x:v>Бетон В 20</x:v>
      </x:c>
      <x:c r="D151" s="22" t="str">
        <x:v>м³</x:v>
      </x:c>
      <x:c r="E151" s="85" t="n">
        <x:v>1.75</x:v>
      </x:c>
      <x:c r="F151" s="86" t="n">
        <x:v>1</x:v>
      </x:c>
      <x:c r="G151" s="85" t="n">
        <x:f>E151*F151</x:f>
        <x:v>1.75</x:v>
      </x:c>
      <x:c r="H151" s="85"/>
      <x:c r="I151" s="85" t="str">
        <x:f>IF(H151="","",G151*H151)</x:f>
      </x:c>
      <x:c r="J151" s="22" t="str">
        <x:v>Л.32, PDF 33</x:v>
      </x:c>
      <x:c r="K151" s="22" t="str">
        <x:v>Исходная строка РД; не масса смонтированной конструкции.</x:v>
      </x:c>
    </x:row>
    <x:row r="152" ht="46" customHeight="1">
      <x:c r="A152" s="26" t="str">
        <x:v>МУ 23</x:v>
      </x:c>
      <x:c r="B152" s="26" t="str"/>
      <x:c r="C152" s="26" t="str">
        <x:v>Профлист Н 75-750-0,8</x:v>
      </x:c>
      <x:c r="D152" s="26" t="str">
        <x:v>м²</x:v>
      </x:c>
      <x:c r="E152" s="83" t="n">
        <x:v>10</x:v>
      </x:c>
      <x:c r="F152" s="84" t="n">
        <x:v>1</x:v>
      </x:c>
      <x:c r="G152" s="83" t="n">
        <x:f>E152*F152</x:f>
        <x:v>10</x:v>
      </x:c>
      <x:c r="H152" s="83"/>
      <x:c r="I152" s="83" t="str">
        <x:f>IF(H152="","",G152*H152)</x:f>
      </x:c>
      <x:c r="J152" s="26" t="str">
        <x:v>Л.32, PDF 33</x:v>
      </x:c>
      <x:c r="K152" s="26" t="str">
        <x:v>Исходная строка РД; не масса смонтированной конструкции.</x:v>
      </x:c>
    </x:row>
    <x:row r="153">
      <x:c r="E153" s="87"/>
      <x:c r="F153" s="88"/>
      <x:c r="G153" s="87"/>
      <x:c r="H153" s="87"/>
      <x:c r="I153" s="87"/>
    </x:row>
    <x:row r="154">
      <x:c r="E154" s="87"/>
      <x:c r="F154" s="88"/>
      <x:c r="G154" s="87"/>
      <x:c r="H154" s="87"/>
      <x:c r="I154" s="87"/>
    </x:row>
    <x:row r="155">
      <x:c r="E155" s="87"/>
      <x:c r="F155" s="88"/>
      <x:c r="G155" s="87"/>
      <x:c r="H155" s="87"/>
      <x:c r="I155" s="87"/>
    </x:row>
    <x:row r="156">
      <x:c r="E156" s="87"/>
      <x:c r="F156" s="88"/>
      <x:c r="G156" s="87"/>
      <x:c r="H156" s="87"/>
      <x:c r="I156" s="87"/>
    </x:row>
    <x:row r="157">
      <x:c r="E157" s="87"/>
      <x:c r="F157" s="88"/>
      <x:c r="G157" s="87"/>
      <x:c r="H157" s="87"/>
      <x:c r="I157" s="87"/>
    </x:row>
    <x:row r="158">
      <x:c r="E158" s="87"/>
      <x:c r="F158" s="88"/>
      <x:c r="G158" s="87"/>
      <x:c r="H158" s="87"/>
      <x:c r="I158" s="87"/>
    </x:row>
    <x:row r="159">
      <x:c r="E159" s="87"/>
      <x:c r="F159" s="88"/>
      <x:c r="G159" s="87"/>
      <x:c r="H159" s="87"/>
      <x:c r="I159" s="87"/>
    </x:row>
    <x:row r="160">
      <x:c r="E160" s="87"/>
      <x:c r="F160" s="88"/>
      <x:c r="G160" s="87"/>
      <x:c r="H160" s="87"/>
      <x:c r="I160" s="87"/>
    </x:row>
    <x:row r="161">
      <x:c r="E161" s="87"/>
      <x:c r="F161" s="88"/>
      <x:c r="G161" s="87"/>
      <x:c r="H161" s="87"/>
      <x:c r="I161" s="87"/>
    </x:row>
    <x:row r="162">
      <x:c r="E162" s="87"/>
      <x:c r="F162" s="88"/>
      <x:c r="G162" s="87"/>
      <x:c r="H162" s="87"/>
      <x:c r="I162" s="87"/>
    </x:row>
    <x:row r="163">
      <x:c r="E163" s="87"/>
      <x:c r="F163" s="88"/>
      <x:c r="G163" s="87"/>
      <x:c r="H163" s="87"/>
      <x:c r="I163" s="87"/>
    </x:row>
    <x:row r="164">
      <x:c r="E164" s="87"/>
      <x:c r="F164" s="88"/>
      <x:c r="G164" s="87"/>
      <x:c r="H164" s="87"/>
      <x:c r="I164" s="87"/>
    </x:row>
    <x:row r="165">
      <x:c r="E165" s="87"/>
      <x:c r="F165" s="88"/>
      <x:c r="G165" s="87"/>
      <x:c r="H165" s="87"/>
      <x:c r="I165" s="87"/>
    </x:row>
    <x:row r="166">
      <x:c r="E166" s="87"/>
      <x:c r="F166" s="88"/>
      <x:c r="G166" s="87"/>
      <x:c r="H166" s="87"/>
      <x:c r="I166" s="87"/>
    </x:row>
    <x:row r="167">
      <x:c r="E167" s="87"/>
      <x:c r="F167" s="88"/>
      <x:c r="G167" s="87"/>
      <x:c r="H167" s="87"/>
      <x:c r="I167" s="87"/>
    </x:row>
    <x:row r="168">
      <x:c r="E168" s="87"/>
      <x:c r="F168" s="88"/>
      <x:c r="G168" s="87"/>
      <x:c r="H168" s="87"/>
      <x:c r="I168" s="87"/>
    </x:row>
    <x:row r="169">
      <x:c r="E169" s="87"/>
      <x:c r="F169" s="88"/>
      <x:c r="G169" s="87"/>
      <x:c r="H169" s="87"/>
      <x:c r="I169" s="87"/>
    </x:row>
    <x:row r="170">
      <x:c r="E170" s="87"/>
      <x:c r="F170" s="88"/>
      <x:c r="G170" s="87"/>
      <x:c r="H170" s="87"/>
      <x:c r="I170" s="87"/>
    </x:row>
    <x:row r="171">
      <x:c r="E171" s="87"/>
      <x:c r="F171" s="88"/>
      <x:c r="G171" s="87"/>
      <x:c r="H171" s="87"/>
      <x:c r="I171" s="87"/>
    </x:row>
    <x:row r="172">
      <x:c r="E172" s="87"/>
      <x:c r="F172" s="88"/>
      <x:c r="G172" s="87"/>
      <x:c r="H172" s="87"/>
      <x:c r="I172" s="87"/>
    </x:row>
    <x:row r="173">
      <x:c r="E173" s="87"/>
      <x:c r="F173" s="88"/>
      <x:c r="G173" s="87"/>
      <x:c r="H173" s="87"/>
      <x:c r="I173" s="87"/>
    </x:row>
    <x:row r="174">
      <x:c r="E174" s="87"/>
      <x:c r="F174" s="88"/>
      <x:c r="G174" s="87"/>
      <x:c r="H174" s="87"/>
      <x:c r="I174" s="87"/>
    </x:row>
    <x:row r="175">
      <x:c r="E175" s="87"/>
      <x:c r="F175" s="88"/>
      <x:c r="G175" s="87"/>
      <x:c r="H175" s="87"/>
      <x:c r="I175" s="87"/>
    </x:row>
    <x:row r="176">
      <x:c r="E176" s="87"/>
      <x:c r="F176" s="88"/>
      <x:c r="G176" s="87"/>
      <x:c r="H176" s="87"/>
      <x:c r="I176" s="87"/>
    </x:row>
    <x:row r="177">
      <x:c r="E177" s="87"/>
      <x:c r="F177" s="88"/>
      <x:c r="G177" s="87"/>
      <x:c r="H177" s="87"/>
      <x:c r="I177" s="87"/>
    </x:row>
    <x:row r="178">
      <x:c r="E178" s="87"/>
      <x:c r="F178" s="88"/>
      <x:c r="G178" s="87"/>
      <x:c r="H178" s="87"/>
      <x:c r="I178" s="87"/>
    </x:row>
    <x:row r="179">
      <x:c r="E179" s="87"/>
      <x:c r="F179" s="88"/>
      <x:c r="G179" s="87"/>
      <x:c r="H179" s="87"/>
      <x:c r="I179" s="87"/>
    </x:row>
    <x:row r="180">
      <x:c r="E180" s="87"/>
      <x:c r="F180" s="88"/>
      <x:c r="G180" s="87"/>
      <x:c r="H180" s="87"/>
      <x:c r="I180" s="87"/>
    </x:row>
    <x:row r="181">
      <x:c r="E181" s="87"/>
      <x:c r="F181" s="88"/>
      <x:c r="G181" s="87"/>
      <x:c r="H181" s="87"/>
      <x:c r="I181" s="87"/>
    </x:row>
    <x:row r="182">
      <x:c r="E182" s="87"/>
      <x:c r="F182" s="88"/>
      <x:c r="G182" s="87"/>
      <x:c r="H182" s="87"/>
      <x:c r="I182" s="87"/>
    </x:row>
    <x:row r="183">
      <x:c r="E183" s="87"/>
      <x:c r="F183" s="88"/>
      <x:c r="G183" s="87"/>
      <x:c r="H183" s="87"/>
      <x:c r="I183" s="87"/>
    </x:row>
    <x:row r="184">
      <x:c r="E184" s="87"/>
      <x:c r="F184" s="88"/>
      <x:c r="G184" s="87"/>
      <x:c r="H184" s="87"/>
      <x:c r="I184" s="87"/>
    </x:row>
    <x:row r="185">
      <x:c r="E185" s="87"/>
      <x:c r="F185" s="88"/>
      <x:c r="G185" s="87"/>
      <x:c r="H185" s="87"/>
      <x:c r="I185" s="87"/>
    </x:row>
    <x:row r="186">
      <x:c r="E186" s="87"/>
      <x:c r="F186" s="88"/>
      <x:c r="G186" s="87"/>
      <x:c r="H186" s="87"/>
      <x:c r="I186" s="87"/>
    </x:row>
    <x:row r="187">
      <x:c r="E187" s="87"/>
      <x:c r="F187" s="88"/>
      <x:c r="G187" s="87"/>
      <x:c r="H187" s="87"/>
      <x:c r="I187" s="87"/>
    </x:row>
    <x:row r="188">
      <x:c r="E188" s="87"/>
      <x:c r="F188" s="88"/>
      <x:c r="G188" s="87"/>
      <x:c r="H188" s="87"/>
      <x:c r="I188" s="87"/>
    </x:row>
    <x:row r="189">
      <x:c r="E189" s="87"/>
      <x:c r="F189" s="88"/>
      <x:c r="G189" s="87"/>
      <x:c r="H189" s="87"/>
      <x:c r="I189" s="87"/>
    </x:row>
    <x:row r="190">
      <x:c r="E190" s="87"/>
      <x:c r="F190" s="88"/>
      <x:c r="G190" s="87"/>
      <x:c r="H190" s="87"/>
      <x:c r="I190" s="87"/>
    </x:row>
    <x:row r="191">
      <x:c r="E191" s="87"/>
      <x:c r="F191" s="88"/>
      <x:c r="G191" s="87"/>
      <x:c r="H191" s="87"/>
      <x:c r="I191" s="87"/>
    </x:row>
    <x:row r="192">
      <x:c r="E192" s="87"/>
      <x:c r="F192" s="88"/>
      <x:c r="G192" s="87"/>
      <x:c r="H192" s="87"/>
      <x:c r="I192" s="87"/>
    </x:row>
    <x:row r="193">
      <x:c r="E193" s="87"/>
      <x:c r="F193" s="88"/>
      <x:c r="G193" s="87"/>
      <x:c r="H193" s="87"/>
      <x:c r="I193" s="87"/>
    </x:row>
    <x:row r="194">
      <x:c r="E194" s="87"/>
      <x:c r="F194" s="88"/>
      <x:c r="G194" s="87"/>
      <x:c r="H194" s="87"/>
      <x:c r="I194" s="87"/>
    </x:row>
    <x:row r="195">
      <x:c r="E195" s="87"/>
      <x:c r="F195" s="88"/>
      <x:c r="G195" s="87"/>
      <x:c r="H195" s="87"/>
      <x:c r="I195" s="87"/>
    </x:row>
    <x:row r="196">
      <x:c r="E196" s="87"/>
      <x:c r="F196" s="88"/>
      <x:c r="G196" s="87"/>
      <x:c r="H196" s="87"/>
      <x:c r="I196" s="87"/>
    </x:row>
    <x:row r="197">
      <x:c r="E197" s="87"/>
      <x:c r="F197" s="88"/>
      <x:c r="G197" s="87"/>
      <x:c r="H197" s="87"/>
      <x:c r="I197" s="87"/>
    </x:row>
    <x:row r="198">
      <x:c r="E198" s="87"/>
      <x:c r="F198" s="88"/>
      <x:c r="G198" s="87"/>
      <x:c r="H198" s="87"/>
      <x:c r="I198" s="87"/>
    </x:row>
    <x:row r="199">
      <x:c r="E199" s="87"/>
      <x:c r="F199" s="88"/>
      <x:c r="G199" s="87"/>
      <x:c r="H199" s="87"/>
      <x:c r="I199" s="87"/>
    </x:row>
    <x:row r="200">
      <x:c r="E200" s="87"/>
      <x:c r="F200" s="88"/>
      <x:c r="G200" s="87"/>
      <x:c r="H200" s="87"/>
      <x:c r="I200" s="87"/>
    </x:row>
  </x:sheetData>
  <x:mergeCells>
    <x:mergeCell ref="A1:K2"/>
    <x:mergeCell ref="A3:K3"/>
  </x:mergeCells>
  <x:conditionalFormatting sqref="A6:K152">
    <x:cfRule type="expression" dxfId="1" priority="1">
      <x:formula>AND($A6="МУ 27",$B6="6")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bc1094c04840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8" hidden="0" customWidth="1"/>
    <x:col min="3" max="3" width="38" hidden="0" customWidth="1"/>
    <x:col min="4" max="4" width="8" hidden="0" customWidth="1"/>
    <x:col min="5" max="5" width="12" hidden="0" customWidth="1"/>
    <x:col min="6" max="6" width="12" hidden="0" customWidth="1"/>
    <x:col min="7" max="7" width="16" hidden="0" customWidth="1"/>
    <x:col min="8" max="8" width="14" hidden="0" customWidth="1"/>
    <x:col min="9" max="9" width="15" hidden="0" customWidth="1"/>
    <x:col min="10" max="10" width="22" hidden="0" customWidth="1"/>
    <x:col min="11" max="11" width="38" hidden="0" customWidth="1"/>
  </x:cols>
  <x:sheetData>
    <x:row r="1" ht="22" customHeight="1">
      <x:c r="A1" s="95" t="str">
        <x:v>Спецификация · схема л.21</x:v>
      </x:c>
      <x:c r="B1" s="95"/>
      <x:c r="C1" s="95"/>
      <x:c r="D1" s="95"/>
      <x:c r="E1" s="95"/>
      <x:c r="F1" s="95"/>
      <x:c r="G1" s="95"/>
      <x:c r="H1" s="95"/>
      <x:c r="I1" s="95"/>
      <x:c r="J1" s="95"/>
      <x:c r="K1" s="4"/>
    </x:row>
    <x:row r="2" ht="22" customHeight="1">
      <x:c r="A2" s="95"/>
      <x:c r="B2" s="95"/>
      <x:c r="C2" s="95"/>
      <x:c r="D2" s="95"/>
      <x:c r="E2" s="95"/>
      <x:c r="F2" s="95"/>
      <x:c r="G2" s="95"/>
      <x:c r="H2" s="95"/>
      <x:c r="I2" s="95"/>
      <x:c r="J2" s="95"/>
      <x:c r="K2" s="4"/>
    </x:row>
    <x:row r="3" ht="36" customHeight="1">
      <x:c r="A3" s="10" t="str">
        <x:v>Количества на один МУ из РД; число размещений — по плану. Массы сомнительных строк не исправлялись. Общая масса усиления здесь не подводится.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5" ht="40" customHeight="1">
      <x:c r="A5" s="16" t="str">
        <x:v>Марка</x:v>
      </x:c>
      <x:c r="B5" s="16" t="str">
        <x:v>Поз.</x:v>
      </x:c>
      <x:c r="C5" s="16" t="str">
        <x:v>Наименование по РД</x:v>
      </x:c>
      <x:c r="D5" s="16" t="str">
        <x:v>Ед.</x:v>
      </x:c>
      <x:c r="E5" s="16" t="str">
        <x:v>На 1 МУ</x:v>
      </x:c>
      <x:c r="F5" s="16" t="str">
        <x:v>МУ на схеме</x:v>
      </x:c>
      <x:c r="G5" s="16" t="str">
        <x:v>Общее количество</x:v>
      </x:c>
      <x:c r="H5" s="16" t="str">
        <x:v>Масса ед. РД, кг</x:v>
      </x:c>
      <x:c r="I5" s="16" t="str">
        <x:v>Арифм. масса, кг</x:v>
      </x:c>
      <x:c r="J5" s="16" t="str">
        <x:v>Источник</x:v>
      </x:c>
      <x:c r="K5" s="16" t="str">
        <x:v>Примечание</x:v>
      </x:c>
    </x:row>
    <x:row r="6" ht="46" customHeight="1">
      <x:c r="A6" s="26" t="str">
        <x:v>МУ 1</x:v>
      </x:c>
      <x:c r="B6" s="26" t="str">
        <x:v>1</x:v>
      </x:c>
      <x:c r="C6" s="26" t="str">
        <x:v>16 - А 500 С , м.п</x:v>
      </x:c>
      <x:c r="D6" s="26" t="str">
        <x:v>п.м</x:v>
      </x:c>
      <x:c r="E6" s="83" t="n">
        <x:v>17.28</x:v>
      </x:c>
      <x:c r="F6" s="84" t="n">
        <x:v>1</x:v>
      </x:c>
      <x:c r="G6" s="83" t="n">
        <x:f>E6*F6</x:f>
        <x:v>17.28</x:v>
      </x:c>
      <x:c r="H6" s="83" t="n">
        <x:v>1.578</x:v>
      </x:c>
      <x:c r="I6" s="83" t="n">
        <x:f>IF(H6="","",G6*H6)</x:f>
        <x:v>27.267840000000003</x:v>
      </x:c>
      <x:c r="J6" s="26" t="str">
        <x:v>Л.23, PDF 24</x:v>
      </x:c>
      <x:c r="K6" s="26" t="str">
        <x:v>Исходная строка РД; не масса смонтированной конструкции.</x:v>
      </x:c>
    </x:row>
    <x:row r="7" ht="46" customHeight="1">
      <x:c r="A7" s="22" t="str">
        <x:v>МУ 1</x:v>
      </x:c>
      <x:c r="B7" s="22" t="str">
        <x:v>П 1</x:v>
      </x:c>
      <x:c r="C7" s="22" t="str">
        <x:v>12- А 500 С , L =1315</x:v>
      </x:c>
      <x:c r="D7" s="22" t="str">
        <x:v>шт.</x:v>
      </x:c>
      <x:c r="E7" s="85" t="n">
        <x:v>12</x:v>
      </x:c>
      <x:c r="F7" s="86" t="n">
        <x:v>1</x:v>
      </x:c>
      <x:c r="G7" s="85" t="n">
        <x:f>E7*F7</x:f>
        <x:v>12</x:v>
      </x:c>
      <x:c r="H7" s="85" t="n">
        <x:v>1.17</x:v>
      </x:c>
      <x:c r="I7" s="85" t="n">
        <x:f>IF(H7="","",G7*H7)</x:f>
        <x:v>14.04</x:v>
      </x:c>
      <x:c r="J7" s="22" t="str">
        <x:v>Л.23, PDF 24</x:v>
      </x:c>
      <x:c r="K7" s="22" t="str">
        <x:v>Исходная строка РД; не масса смонтированной конструкции.</x:v>
      </x:c>
    </x:row>
    <x:row r="8" ht="46" customHeight="1">
      <x:c r="A8" s="26" t="str">
        <x:v>МУ 1</x:v>
      </x:c>
      <x:c r="B8" s="26" t="str">
        <x:v>П 2</x:v>
      </x:c>
      <x:c r="C8" s="26" t="str">
        <x:v>12- А 500 С , L =1820</x:v>
      </x:c>
      <x:c r="D8" s="26" t="str">
        <x:v>шт.</x:v>
      </x:c>
      <x:c r="E8" s="83" t="n">
        <x:v>16</x:v>
      </x:c>
      <x:c r="F8" s="84" t="n">
        <x:v>1</x:v>
      </x:c>
      <x:c r="G8" s="83" t="n">
        <x:f>E8*F8</x:f>
        <x:v>16</x:v>
      </x:c>
      <x:c r="H8" s="83" t="n">
        <x:v>1.62</x:v>
      </x:c>
      <x:c r="I8" s="83" t="n">
        <x:f>IF(H8="","",G8*H8)</x:f>
        <x:v>25.92</x:v>
      </x:c>
      <x:c r="J8" s="26" t="str">
        <x:v>Л.23, PDF 24</x:v>
      </x:c>
      <x:c r="K8" s="26" t="str">
        <x:v>Исходная строка РД; не масса смонтированной конструкции.</x:v>
      </x:c>
    </x:row>
    <x:row r="9" ht="46" customHeight="1">
      <x:c r="A9" s="22" t="str">
        <x:v>МУ 1</x:v>
      </x:c>
      <x:c r="B9" s="22" t="str">
        <x:v>Ф 1</x:v>
      </x:c>
      <x:c r="C9" s="22" t="str">
        <x:v>10- А 500 С , L =1030</x:v>
      </x:c>
      <x:c r="D9" s="22" t="str">
        <x:v>шт.</x:v>
      </x:c>
      <x:c r="E9" s="85" t="n">
        <x:v>3</x:v>
      </x:c>
      <x:c r="F9" s="86" t="n">
        <x:v>1</x:v>
      </x:c>
      <x:c r="G9" s="85" t="n">
        <x:f>E9*F9</x:f>
        <x:v>3</x:v>
      </x:c>
      <x:c r="H9" s="85" t="n">
        <x:v>0.64</x:v>
      </x:c>
      <x:c r="I9" s="85" t="n">
        <x:f>IF(H9="","",G9*H9)</x:f>
        <x:v>1.92</x:v>
      </x:c>
      <x:c r="J9" s="22" t="str">
        <x:v>Л.23, PDF 24</x:v>
      </x:c>
      <x:c r="K9" s="22" t="str">
        <x:v>Исходная строка РД; не масса смонтированной конструкции.</x:v>
      </x:c>
    </x:row>
    <x:row r="10" ht="46" customHeight="1">
      <x:c r="A10" s="26" t="str">
        <x:v>МУ 1</x:v>
      </x:c>
      <x:c r="B10" s="26" t="str"/>
      <x:c r="C10" s="26" t="str">
        <x:v>Бетон В 20</x:v>
      </x:c>
      <x:c r="D10" s="26" t="str">
        <x:v>м³</x:v>
      </x:c>
      <x:c r="E10" s="83" t="n">
        <x:v>0.32</x:v>
      </x:c>
      <x:c r="F10" s="84" t="n">
        <x:v>1</x:v>
      </x:c>
      <x:c r="G10" s="83" t="n">
        <x:f>E10*F10</x:f>
        <x:v>0.32</x:v>
      </x:c>
      <x:c r="H10" s="83"/>
      <x:c r="I10" s="83" t="str">
        <x:f>IF(H10="","",G10*H10)</x:f>
      </x:c>
      <x:c r="J10" s="26" t="str">
        <x:v>Л.23, PDF 24</x:v>
      </x:c>
      <x:c r="K10" s="26" t="str">
        <x:v>Исходная строка РД; не масса смонтированной конструкции.</x:v>
      </x:c>
    </x:row>
    <x:row r="11" ht="46" customHeight="1">
      <x:c r="A11" s="22" t="str">
        <x:v>МУ 2</x:v>
      </x:c>
      <x:c r="B11" s="22" t="str">
        <x:v>1</x:v>
      </x:c>
      <x:c r="C11" s="22" t="str">
        <x:v>16 - А 500 С , м .п</x:v>
      </x:c>
      <x:c r="D11" s="22" t="str">
        <x:v>п.м</x:v>
      </x:c>
      <x:c r="E11" s="85" t="n">
        <x:v>27.24</x:v>
      </x:c>
      <x:c r="F11" s="86" t="n">
        <x:v>1</x:v>
      </x:c>
      <x:c r="G11" s="85" t="n">
        <x:f>E11*F11</x:f>
        <x:v>27.24</x:v>
      </x:c>
      <x:c r="H11" s="85" t="n">
        <x:v>1.578</x:v>
      </x:c>
      <x:c r="I11" s="85" t="n">
        <x:f>IF(H11="","",G11*H11)</x:f>
        <x:v>42.98472</x:v>
      </x:c>
      <x:c r="J11" s="22" t="str">
        <x:v>Л.23, PDF 24</x:v>
      </x:c>
      <x:c r="K11" s="22" t="str">
        <x:v>Исходная строка РД; не масса смонтированной конструкции.</x:v>
      </x:c>
    </x:row>
    <x:row r="12" ht="46" customHeight="1">
      <x:c r="A12" s="26" t="str">
        <x:v>МУ 2</x:v>
      </x:c>
      <x:c r="B12" s="26" t="str">
        <x:v>П 1</x:v>
      </x:c>
      <x:c r="C12" s="26" t="str">
        <x:v>12- А 500 С , L =1315</x:v>
      </x:c>
      <x:c r="D12" s="26" t="str">
        <x:v>шт.</x:v>
      </x:c>
      <x:c r="E12" s="83" t="n">
        <x:v>12</x:v>
      </x:c>
      <x:c r="F12" s="84" t="n">
        <x:v>1</x:v>
      </x:c>
      <x:c r="G12" s="83" t="n">
        <x:f>E12*F12</x:f>
        <x:v>12</x:v>
      </x:c>
      <x:c r="H12" s="83" t="n">
        <x:v>1.17</x:v>
      </x:c>
      <x:c r="I12" s="83" t="n">
        <x:f>IF(H12="","",G12*H12)</x:f>
        <x:v>14.04</x:v>
      </x:c>
      <x:c r="J12" s="26" t="str">
        <x:v>Л.23, PDF 24</x:v>
      </x:c>
      <x:c r="K12" s="26" t="str">
        <x:v>Исходная строка РД; не масса смонтированной конструкции.</x:v>
      </x:c>
    </x:row>
    <x:row r="13" ht="46" customHeight="1">
      <x:c r="A13" s="22" t="str">
        <x:v>МУ 2</x:v>
      </x:c>
      <x:c r="B13" s="22" t="str">
        <x:v>П 2</x:v>
      </x:c>
      <x:c r="C13" s="22" t="str">
        <x:v>12- А 500 С , L =1820</x:v>
      </x:c>
      <x:c r="D13" s="22" t="str">
        <x:v>шт.</x:v>
      </x:c>
      <x:c r="E13" s="85" t="n">
        <x:v>26</x:v>
      </x:c>
      <x:c r="F13" s="86" t="n">
        <x:v>1</x:v>
      </x:c>
      <x:c r="G13" s="85" t="n">
        <x:f>E13*F13</x:f>
        <x:v>26</x:v>
      </x:c>
      <x:c r="H13" s="85" t="n">
        <x:v>1.62</x:v>
      </x:c>
      <x:c r="I13" s="85" t="n">
        <x:f>IF(H13="","",G13*H13)</x:f>
        <x:v>42.120000000000005</x:v>
      </x:c>
      <x:c r="J13" s="22" t="str">
        <x:v>Л.23, PDF 24</x:v>
      </x:c>
      <x:c r="K13" s="22" t="str">
        <x:v>Исходная строка РД; не масса смонтированной конструкции.</x:v>
      </x:c>
    </x:row>
    <x:row r="14" ht="46" customHeight="1">
      <x:c r="A14" s="26" t="str">
        <x:v>МУ 2</x:v>
      </x:c>
      <x:c r="B14" s="26" t="str">
        <x:v>Ф 1</x:v>
      </x:c>
      <x:c r="C14" s="26" t="str">
        <x:v>10- А 500 С , L =1030</x:v>
      </x:c>
      <x:c r="D14" s="26" t="str">
        <x:v>шт.</x:v>
      </x:c>
      <x:c r="E14" s="83" t="n">
        <x:v>5</x:v>
      </x:c>
      <x:c r="F14" s="84" t="n">
        <x:v>1</x:v>
      </x:c>
      <x:c r="G14" s="83" t="n">
        <x:f>E14*F14</x:f>
        <x:v>5</x:v>
      </x:c>
      <x:c r="H14" s="83" t="n">
        <x:v>0.64</x:v>
      </x:c>
      <x:c r="I14" s="83" t="n">
        <x:f>IF(H14="","",G14*H14)</x:f>
        <x:v>3.2</x:v>
      </x:c>
      <x:c r="J14" s="26" t="str">
        <x:v>Л.23, PDF 24</x:v>
      </x:c>
      <x:c r="K14" s="26" t="str">
        <x:v>Исходная строка РД; не масса смонтированной конструкции.</x:v>
      </x:c>
    </x:row>
    <x:row r="15" ht="46" customHeight="1">
      <x:c r="A15" s="22" t="str">
        <x:v>МУ 2</x:v>
      </x:c>
      <x:c r="B15" s="22" t="str"/>
      <x:c r="C15" s="22" t="str">
        <x:v>Бетон В 20</x:v>
      </x:c>
      <x:c r="D15" s="22" t="str">
        <x:v>м³</x:v>
      </x:c>
      <x:c r="E15" s="85" t="n">
        <x:v>0.51</x:v>
      </x:c>
      <x:c r="F15" s="86" t="n">
        <x:v>1</x:v>
      </x:c>
      <x:c r="G15" s="85" t="n">
        <x:f>E15*F15</x:f>
        <x:v>0.51</x:v>
      </x:c>
      <x:c r="H15" s="85"/>
      <x:c r="I15" s="85" t="str">
        <x:f>IF(H15="","",G15*H15)</x:f>
      </x:c>
      <x:c r="J15" s="22" t="str">
        <x:v>Л.23, PDF 24</x:v>
      </x:c>
      <x:c r="K15" s="22" t="str">
        <x:v>Исходная строка РД; не масса смонтированной конструкции.</x:v>
      </x:c>
    </x:row>
    <x:row r="16" ht="46" customHeight="1">
      <x:c r="A16" s="26" t="str">
        <x:v>МУ 3</x:v>
      </x:c>
      <x:c r="B16" s="26" t="str">
        <x:v>1</x:v>
      </x:c>
      <x:c r="C16" s="26" t="str">
        <x:v>16 - А 500 С , м .п</x:v>
      </x:c>
      <x:c r="D16" s="26" t="str">
        <x:v>п.м</x:v>
      </x:c>
      <x:c r="E16" s="83" t="n">
        <x:v>103.1</x:v>
      </x:c>
      <x:c r="F16" s="84" t="n">
        <x:v>1</x:v>
      </x:c>
      <x:c r="G16" s="83" t="n">
        <x:f>E16*F16</x:f>
        <x:v>103.1</x:v>
      </x:c>
      <x:c r="H16" s="83" t="n">
        <x:v>1.578</x:v>
      </x:c>
      <x:c r="I16" s="83" t="n">
        <x:f>IF(H16="","",G16*H16)</x:f>
        <x:v>162.6918</x:v>
      </x:c>
      <x:c r="J16" s="26" t="str">
        <x:v>Л.23, PDF 24</x:v>
      </x:c>
      <x:c r="K16" s="26" t="str">
        <x:v>Исходная строка РД; не масса смонтированной конструкции.</x:v>
      </x:c>
    </x:row>
    <x:row r="17" ht="46" customHeight="1">
      <x:c r="A17" s="22" t="str">
        <x:v>МУ 3</x:v>
      </x:c>
      <x:c r="B17" s="22" t="str">
        <x:v>П 1</x:v>
      </x:c>
      <x:c r="C17" s="22" t="str">
        <x:v>12- А 500 С , L =1315</x:v>
      </x:c>
      <x:c r="D17" s="22" t="str">
        <x:v>шт.</x:v>
      </x:c>
      <x:c r="E17" s="85" t="n">
        <x:v>40</x:v>
      </x:c>
      <x:c r="F17" s="86" t="n">
        <x:v>1</x:v>
      </x:c>
      <x:c r="G17" s="85" t="n">
        <x:f>E17*F17</x:f>
        <x:v>40</x:v>
      </x:c>
      <x:c r="H17" s="85" t="n">
        <x:v>1.17</x:v>
      </x:c>
      <x:c r="I17" s="85" t="n">
        <x:f>IF(H17="","",G17*H17)</x:f>
        <x:v>46.8</x:v>
      </x:c>
      <x:c r="J17" s="22" t="str">
        <x:v>Л.23, PDF 24</x:v>
      </x:c>
      <x:c r="K17" s="22" t="str">
        <x:v>Исходная строка РД; не масса смонтированной конструкции.</x:v>
      </x:c>
    </x:row>
    <x:row r="18" ht="46" customHeight="1">
      <x:c r="A18" s="26" t="str">
        <x:v>МУ 3</x:v>
      </x:c>
      <x:c r="B18" s="26" t="str">
        <x:v>Ф 1</x:v>
      </x:c>
      <x:c r="C18" s="26" t="str">
        <x:v>10- А 500 С , L =1030</x:v>
      </x:c>
      <x:c r="D18" s="26" t="str">
        <x:v>шт.</x:v>
      </x:c>
      <x:c r="E18" s="83" t="n">
        <x:v>10</x:v>
      </x:c>
      <x:c r="F18" s="84" t="n">
        <x:v>1</x:v>
      </x:c>
      <x:c r="G18" s="83" t="n">
        <x:f>E18*F18</x:f>
        <x:v>10</x:v>
      </x:c>
      <x:c r="H18" s="83" t="n">
        <x:v>0.64</x:v>
      </x:c>
      <x:c r="I18" s="83" t="n">
        <x:f>IF(H18="","",G18*H18)</x:f>
        <x:v>6.4</x:v>
      </x:c>
      <x:c r="J18" s="26" t="str">
        <x:v>Л.23, PDF 24</x:v>
      </x:c>
      <x:c r="K18" s="26" t="str">
        <x:v>Исходная строка РД; не масса смонтированной конструкции.</x:v>
      </x:c>
    </x:row>
    <x:row r="19" ht="46" customHeight="1">
      <x:c r="A19" s="22" t="str">
        <x:v>МУ 3</x:v>
      </x:c>
      <x:c r="B19" s="22" t="str"/>
      <x:c r="C19" s="22" t="str">
        <x:v>Бетон В 20</x:v>
      </x:c>
      <x:c r="D19" s="22" t="str">
        <x:v>м³</x:v>
      </x:c>
      <x:c r="E19" s="85" t="n">
        <x:v>1.03</x:v>
      </x:c>
      <x:c r="F19" s="86" t="n">
        <x:v>1</x:v>
      </x:c>
      <x:c r="G19" s="85" t="n">
        <x:f>E19*F19</x:f>
        <x:v>1.03</x:v>
      </x:c>
      <x:c r="H19" s="85"/>
      <x:c r="I19" s="85" t="str">
        <x:f>IF(H19="","",G19*H19)</x:f>
      </x:c>
      <x:c r="J19" s="22" t="str">
        <x:v>Л.23, PDF 24</x:v>
      </x:c>
      <x:c r="K19" s="22" t="str">
        <x:v>Исходная строка РД; не масса смонтированной конструкции.</x:v>
      </x:c>
    </x:row>
    <x:row r="20" ht="46" customHeight="1">
      <x:c r="A20" s="26" t="str">
        <x:v>МУ 4</x:v>
      </x:c>
      <x:c r="B20" s="26" t="str">
        <x:v>Б 1</x:v>
      </x:c>
      <x:c r="C20" s="26" t="str">
        <x:v>Балка металлическая Б 1</x:v>
      </x:c>
      <x:c r="D20" s="26" t="str">
        <x:v>шт.</x:v>
      </x:c>
      <x:c r="E20" s="83" t="n">
        <x:v>2</x:v>
      </x:c>
      <x:c r="F20" s="84" t="n">
        <x:v>1</x:v>
      </x:c>
      <x:c r="G20" s="83" t="n">
        <x:f>E20*F20</x:f>
        <x:v>2</x:v>
      </x:c>
      <x:c r="H20" s="83"/>
      <x:c r="I20" s="83" t="str">
        <x:f>IF(H20="","",G20*H20)</x:f>
      </x:c>
      <x:c r="J20" s="26" t="str">
        <x:v>Л.24, PDF 25</x:v>
      </x:c>
      <x:c r="K20" s="26" t="str">
        <x:v>Сборка Б1. Состав/масса только на вкладке 04; здесь массу не суммировать.</x:v>
      </x:c>
    </x:row>
    <x:row r="21" ht="46" customHeight="1">
      <x:c r="A21" s="22" t="str">
        <x:v>МУ 4</x:v>
      </x:c>
      <x:c r="B21" s="22" t="str">
        <x:v>КР 6</x:v>
      </x:c>
      <x:c r="C21" s="22" t="str">
        <x:v>Каркас КР 6</x:v>
      </x:c>
      <x:c r="D21" s="22" t="str">
        <x:v>шт.</x:v>
      </x:c>
      <x:c r="E21" s="85" t="n">
        <x:v>31</x:v>
      </x:c>
      <x:c r="F21" s="86" t="n">
        <x:v>1</x:v>
      </x:c>
      <x:c r="G21" s="85" t="n">
        <x:f>E21*F21</x:f>
        <x:v>31</x:v>
      </x:c>
      <x:c r="H21" s="85"/>
      <x:c r="I21" s="85" t="str">
        <x:f>IF(H21="","",G21*H21)</x:f>
      </x:c>
      <x:c r="J21" s="22" t="str">
        <x:v>Л.24, PDF 25</x:v>
      </x:c>
      <x:c r="K21" s="22" t="str">
        <x:v>В РД; полная пространственная раскладка не смоделирована.</x:v>
      </x:c>
    </x:row>
    <x:row r="22" ht="46" customHeight="1">
      <x:c r="A22" s="26" t="str">
        <x:v>МУ 4</x:v>
      </x:c>
      <x:c r="B22" s="26" t="str">
        <x:v>3</x:v>
      </x:c>
      <x:c r="C22" s="26" t="str">
        <x:v>12- А 500 С , L =5740</x:v>
      </x:c>
      <x:c r="D22" s="26" t="str">
        <x:v>шт.</x:v>
      </x:c>
      <x:c r="E22" s="83" t="n">
        <x:v>6</x:v>
      </x:c>
      <x:c r="F22" s="84" t="n">
        <x:v>1</x:v>
      </x:c>
      <x:c r="G22" s="83" t="n">
        <x:f>E22*F22</x:f>
        <x:v>6</x:v>
      </x:c>
      <x:c r="H22" s="83" t="n">
        <x:v>5.1</x:v>
      </x:c>
      <x:c r="I22" s="83" t="n">
        <x:f>IF(H22="","",G22*H22)</x:f>
        <x:v>30.599999999999998</x:v>
      </x:c>
      <x:c r="J22" s="26" t="str">
        <x:v>Л.24, PDF 25</x:v>
      </x:c>
      <x:c r="K22" s="26" t="str">
        <x:v>Исходная строка РД; не масса смонтированной конструкции.</x:v>
      </x:c>
    </x:row>
    <x:row r="23" ht="46" customHeight="1">
      <x:c r="A23" s="22" t="str">
        <x:v>МУ 4</x:v>
      </x:c>
      <x:c r="B23" s="22" t="str">
        <x:v>4</x:v>
      </x:c>
      <x:c r="C23" s="22" t="str">
        <x:v>Уголок 75х5ГОСТ 8509-93 С245 ГОСТ 27772-2015 L= 1000</x:v>
      </x:c>
      <x:c r="D23" s="22" t="str">
        <x:v>шт.</x:v>
      </x:c>
      <x:c r="E23" s="85" t="n">
        <x:v>2</x:v>
      </x:c>
      <x:c r="F23" s="86" t="n">
        <x:v>1</x:v>
      </x:c>
      <x:c r="G23" s="85" t="n">
        <x:f>E23*F23</x:f>
        <x:v>2</x:v>
      </x:c>
      <x:c r="H23" s="85" t="n">
        <x:v>5.8</x:v>
      </x:c>
      <x:c r="I23" s="85" t="n">
        <x:f>IF(H23="","",G23*H23)</x:f>
        <x:v>11.6</x:v>
      </x:c>
      <x:c r="J23" s="22" t="str">
        <x:v>Л.24, PDF 25</x:v>
      </x:c>
      <x:c r="K23" s="22" t="str">
        <x:v>Геометрия частичная; контроль по вкладке 07.</x:v>
      </x:c>
    </x:row>
    <x:row r="24" ht="46" customHeight="1">
      <x:c r="A24" s="26" t="str">
        <x:v>МУ 4</x:v>
      </x:c>
      <x:c r="B24" s="26" t="str">
        <x:v>5</x:v>
      </x:c>
      <x:c r="C24" s="26" t="str">
        <x:v>Уголок 75х5ГОСТ 8509-93 С245 ГОСТ 27772-2015 L= 1050</x:v>
      </x:c>
      <x:c r="D24" s="26" t="str">
        <x:v>шт.</x:v>
      </x:c>
      <x:c r="E24" s="83" t="n">
        <x:v>2</x:v>
      </x:c>
      <x:c r="F24" s="84" t="n">
        <x:v>1</x:v>
      </x:c>
      <x:c r="G24" s="83" t="n">
        <x:f>E24*F24</x:f>
        <x:v>2</x:v>
      </x:c>
      <x:c r="H24" s="83" t="n">
        <x:v>6.09</x:v>
      </x:c>
      <x:c r="I24" s="83" t="n">
        <x:f>IF(H24="","",G24*H24)</x:f>
        <x:v>12.18</x:v>
      </x:c>
      <x:c r="J24" s="26" t="str">
        <x:v>Л.24, PDF 25</x:v>
      </x:c>
      <x:c r="K24" s="26" t="str">
        <x:v>Геометрия частичная; контроль по вкладке 07.</x:v>
      </x:c>
    </x:row>
    <x:row r="25" ht="46" customHeight="1">
      <x:c r="A25" s="22" t="str">
        <x:v>МУ 4</x:v>
      </x:c>
      <x:c r="B25" s="22" t="str"/>
      <x:c r="C25" s="22" t="str">
        <x:v>Бетон В 20</x:v>
      </x:c>
      <x:c r="D25" s="22" t="str">
        <x:v>м³</x:v>
      </x:c>
      <x:c r="E25" s="85" t="n">
        <x:v>1.1</x:v>
      </x:c>
      <x:c r="F25" s="86" t="n">
        <x:v>1</x:v>
      </x:c>
      <x:c r="G25" s="85" t="n">
        <x:f>E25*F25</x:f>
        <x:v>1.1</x:v>
      </x:c>
      <x:c r="H25" s="85"/>
      <x:c r="I25" s="85" t="str">
        <x:f>IF(H25="","",G25*H25)</x:f>
      </x:c>
      <x:c r="J25" s="22" t="str">
        <x:v>Л.24, PDF 25</x:v>
      </x:c>
      <x:c r="K25" s="22" t="str">
        <x:v>Исходная строка РД; не масса смонтированной конструкции.</x:v>
      </x:c>
    </x:row>
    <x:row r="26" ht="46" customHeight="1">
      <x:c r="A26" s="26" t="str">
        <x:v>МУ 4</x:v>
      </x:c>
      <x:c r="B26" s="26" t="str"/>
      <x:c r="C26" s="26" t="str">
        <x:v>Профлист Н 75-750-0,8</x:v>
      </x:c>
      <x:c r="D26" s="26" t="str">
        <x:v>м²</x:v>
      </x:c>
      <x:c r="E26" s="83" t="n">
        <x:v>6.4</x:v>
      </x:c>
      <x:c r="F26" s="84" t="n">
        <x:v>1</x:v>
      </x:c>
      <x:c r="G26" s="83" t="n">
        <x:f>E26*F26</x:f>
        <x:v>6.4</x:v>
      </x:c>
      <x:c r="H26" s="83"/>
      <x:c r="I26" s="83" t="str">
        <x:f>IF(H26="","",G26*H26)</x:f>
      </x:c>
      <x:c r="J26" s="26" t="str">
        <x:v>Л.24, PDF 25</x:v>
      </x:c>
      <x:c r="K26" s="26" t="str">
        <x:v>Исходная строка РД; не масса смонтированной конструкции.</x:v>
      </x:c>
    </x:row>
    <x:row r="27" ht="46" customHeight="1">
      <x:c r="A27" s="22" t="str">
        <x:v>МУ 6</x:v>
      </x:c>
      <x:c r="B27" s="22" t="str">
        <x:v>Б 1</x:v>
      </x:c>
      <x:c r="C27" s="22" t="str">
        <x:v>Балка металлическая Б 1</x:v>
      </x:c>
      <x:c r="D27" s="22" t="str">
        <x:v>шт.</x:v>
      </x:c>
      <x:c r="E27" s="85" t="n">
        <x:v>2</x:v>
      </x:c>
      <x:c r="F27" s="86" t="n">
        <x:v>1</x:v>
      </x:c>
      <x:c r="G27" s="85" t="n">
        <x:f>E27*F27</x:f>
        <x:v>2</x:v>
      </x:c>
      <x:c r="H27" s="85"/>
      <x:c r="I27" s="85" t="str">
        <x:f>IF(H27="","",G27*H27)</x:f>
      </x:c>
      <x:c r="J27" s="22" t="str">
        <x:v>Л.25, PDF 26</x:v>
      </x:c>
      <x:c r="K27" s="22" t="str">
        <x:v>Сборка Б1. Состав/масса только на вкладке 04; здесь массу не суммировать.</x:v>
      </x:c>
    </x:row>
    <x:row r="28" ht="46" customHeight="1">
      <x:c r="A28" s="26" t="str">
        <x:v>МУ 6</x:v>
      </x:c>
      <x:c r="B28" s="26" t="str">
        <x:v>3</x:v>
      </x:c>
      <x:c r="C28" s="26" t="str">
        <x:v>12- А 500 С , L =5740</x:v>
      </x:c>
      <x:c r="D28" s="26" t="str">
        <x:v>шт.</x:v>
      </x:c>
      <x:c r="E28" s="83" t="n">
        <x:v>10</x:v>
      </x:c>
      <x:c r="F28" s="84" t="n">
        <x:v>1</x:v>
      </x:c>
      <x:c r="G28" s="83" t="n">
        <x:f>E28*F28</x:f>
        <x:v>10</x:v>
      </x:c>
      <x:c r="H28" s="83" t="n">
        <x:v>5.1</x:v>
      </x:c>
      <x:c r="I28" s="83" t="n">
        <x:f>IF(H28="","",G28*H28)</x:f>
        <x:v>51</x:v>
      </x:c>
      <x:c r="J28" s="26" t="str">
        <x:v>Л.25, PDF 26</x:v>
      </x:c>
      <x:c r="K28" s="26" t="str">
        <x:v>Исходная строка РД; не масса смонтированной конструкции.</x:v>
      </x:c>
    </x:row>
    <x:row r="29" ht="46" customHeight="1">
      <x:c r="A29" s="22" t="str">
        <x:v>МУ 6</x:v>
      </x:c>
      <x:c r="B29" s="22" t="str">
        <x:v>КР 1</x:v>
      </x:c>
      <x:c r="C29" s="22" t="str">
        <x:v>Каркас КР 1</x:v>
      </x:c>
      <x:c r="D29" s="22" t="str">
        <x:v>шт.</x:v>
      </x:c>
      <x:c r="E29" s="85" t="n">
        <x:v>31</x:v>
      </x:c>
      <x:c r="F29" s="86" t="n">
        <x:v>1</x:v>
      </x:c>
      <x:c r="G29" s="85" t="n">
        <x:f>E29*F29</x:f>
        <x:v>31</x:v>
      </x:c>
      <x:c r="H29" s="85"/>
      <x:c r="I29" s="85" t="str">
        <x:f>IF(H29="","",G29*H29)</x:f>
      </x:c>
      <x:c r="J29" s="22" t="str">
        <x:v>Л.25, PDF 26</x:v>
      </x:c>
      <x:c r="K29" s="22" t="str">
        <x:v>В РД; полная пространственная раскладка не смоделирована.</x:v>
      </x:c>
    </x:row>
    <x:row r="30" ht="46" customHeight="1">
      <x:c r="A30" s="26" t="str">
        <x:v>МУ 6</x:v>
      </x:c>
      <x:c r="B30" s="26" t="str">
        <x:v>1</x:v>
      </x:c>
      <x:c r="C30" s="26" t="str">
        <x:v>Уголок 75х5ГОСТ 8509-93 С245 ГОСТ 27772-2015 L=1750</x:v>
      </x:c>
      <x:c r="D30" s="26" t="str">
        <x:v>шт.</x:v>
      </x:c>
      <x:c r="E30" s="83" t="n">
        <x:v>2</x:v>
      </x:c>
      <x:c r="F30" s="84" t="n">
        <x:v>1</x:v>
      </x:c>
      <x:c r="G30" s="83" t="n">
        <x:f>E30*F30</x:f>
        <x:v>2</x:v>
      </x:c>
      <x:c r="H30" s="83" t="n">
        <x:v>10.15</x:v>
      </x:c>
      <x:c r="I30" s="83" t="n">
        <x:f>IF(H30="","",G30*H30)</x:f>
        <x:v>20.3</x:v>
      </x:c>
      <x:c r="J30" s="26" t="str">
        <x:v>Л.25, PDF 26</x:v>
      </x:c>
      <x:c r="K30" s="26" t="str">
        <x:v>Геометрия частичная; контроль по вкладке 07.</x:v>
      </x:c>
    </x:row>
    <x:row r="31" ht="46" customHeight="1">
      <x:c r="A31" s="22" t="str">
        <x:v>МУ 6</x:v>
      </x:c>
      <x:c r="B31" s="22" t="str">
        <x:v>2</x:v>
      </x:c>
      <x:c r="C31" s="22" t="str">
        <x:v>Уголок 75х5ГОСТ 8509-93 С245 ГОСТ 27772-2015 L=1500</x:v>
      </x:c>
      <x:c r="D31" s="22" t="str">
        <x:v>шт.</x:v>
      </x:c>
      <x:c r="E31" s="85" t="n">
        <x:v>2</x:v>
      </x:c>
      <x:c r="F31" s="86" t="n">
        <x:v>1</x:v>
      </x:c>
      <x:c r="G31" s="85" t="n">
        <x:f>E31*F31</x:f>
        <x:v>2</x:v>
      </x:c>
      <x:c r="H31" s="85" t="n">
        <x:v>8.7</x:v>
      </x:c>
      <x:c r="I31" s="85" t="n">
        <x:f>IF(H31="","",G31*H31)</x:f>
        <x:v>17.4</x:v>
      </x:c>
      <x:c r="J31" s="22" t="str">
        <x:v>Л.25, PDF 26</x:v>
      </x:c>
      <x:c r="K31" s="22" t="str">
        <x:v>Геометрия частичная; контроль по вкладке 07.</x:v>
      </x:c>
    </x:row>
    <x:row r="32" ht="46" customHeight="1">
      <x:c r="A32" s="26" t="str">
        <x:v>МУ 6</x:v>
      </x:c>
      <x:c r="B32" s="26" t="str"/>
      <x:c r="C32" s="26" t="str">
        <x:v>Бетон В 20</x:v>
      </x:c>
      <x:c r="D32" s="26" t="str">
        <x:v>м³</x:v>
      </x:c>
      <x:c r="E32" s="83" t="n">
        <x:v>2.01</x:v>
      </x:c>
      <x:c r="F32" s="84" t="n">
        <x:v>1</x:v>
      </x:c>
      <x:c r="G32" s="83" t="n">
        <x:f>E32*F32</x:f>
        <x:v>2.01</x:v>
      </x:c>
      <x:c r="H32" s="83"/>
      <x:c r="I32" s="83" t="str">
        <x:f>IF(H32="","",G32*H32)</x:f>
      </x:c>
      <x:c r="J32" s="26" t="str">
        <x:v>Л.25, PDF 26</x:v>
      </x:c>
      <x:c r="K32" s="26" t="str">
        <x:v>Исходная строка РД; не масса смонтированной конструкции.</x:v>
      </x:c>
    </x:row>
    <x:row r="33" ht="46" customHeight="1">
      <x:c r="A33" s="22" t="str">
        <x:v>МУ 6</x:v>
      </x:c>
      <x:c r="B33" s="22" t="str"/>
      <x:c r="C33" s="22" t="str">
        <x:v>Профлист Н 75-750-0,8</x:v>
      </x:c>
      <x:c r="D33" s="22" t="str">
        <x:v>м²</x:v>
      </x:c>
      <x:c r="E33" s="85" t="n">
        <x:v>9.54</x:v>
      </x:c>
      <x:c r="F33" s="86" t="n">
        <x:v>1</x:v>
      </x:c>
      <x:c r="G33" s="85" t="n">
        <x:f>E33*F33</x:f>
        <x:v>9.54</x:v>
      </x:c>
      <x:c r="H33" s="85"/>
      <x:c r="I33" s="85" t="str">
        <x:f>IF(H33="","",G33*H33)</x:f>
      </x:c>
      <x:c r="J33" s="22" t="str">
        <x:v>Л.25, PDF 26</x:v>
      </x:c>
      <x:c r="K33" s="22" t="str">
        <x:v>Исходная строка РД; не масса смонтированной конструкции.</x:v>
      </x:c>
    </x:row>
    <x:row r="34" ht="46" customHeight="1">
      <x:c r="A34" s="26" t="str">
        <x:v>МУ 7</x:v>
      </x:c>
      <x:c r="B34" s="26" t="str">
        <x:v>Б 1</x:v>
      </x:c>
      <x:c r="C34" s="26" t="str">
        <x:v>Балка металлическая Б 1</x:v>
      </x:c>
      <x:c r="D34" s="26" t="str">
        <x:v>шт.</x:v>
      </x:c>
      <x:c r="E34" s="83" t="n">
        <x:v>2</x:v>
      </x:c>
      <x:c r="F34" s="84" t="n">
        <x:v>1</x:v>
      </x:c>
      <x:c r="G34" s="83" t="n">
        <x:f>E34*F34</x:f>
        <x:v>2</x:v>
      </x:c>
      <x:c r="H34" s="83"/>
      <x:c r="I34" s="83" t="str">
        <x:f>IF(H34="","",G34*H34)</x:f>
      </x:c>
      <x:c r="J34" s="26" t="str">
        <x:v>Л.25, PDF 26</x:v>
      </x:c>
      <x:c r="K34" s="26" t="str">
        <x:v>Сборка Б1. Состав/масса только на вкладке 04; здесь массу не суммировать.</x:v>
      </x:c>
    </x:row>
    <x:row r="35" ht="46" customHeight="1">
      <x:c r="A35" s="22" t="str">
        <x:v>МУ 7</x:v>
      </x:c>
      <x:c r="B35" s="22" t="str">
        <x:v>6</x:v>
      </x:c>
      <x:c r="C35" s="22" t="str">
        <x:v>12- А 500 С , L =5740</x:v>
      </x:c>
      <x:c r="D35" s="22" t="str">
        <x:v>шт.</x:v>
      </x:c>
      <x:c r="E35" s="85" t="n">
        <x:v>10</x:v>
      </x:c>
      <x:c r="F35" s="86" t="n">
        <x:v>1</x:v>
      </x:c>
      <x:c r="G35" s="85" t="n">
        <x:f>E35*F35</x:f>
        <x:v>10</x:v>
      </x:c>
      <x:c r="H35" s="85" t="n">
        <x:v>5.1</x:v>
      </x:c>
      <x:c r="I35" s="85" t="n">
        <x:f>IF(H35="","",G35*H35)</x:f>
        <x:v>51</x:v>
      </x:c>
      <x:c r="J35" s="22" t="str">
        <x:v>Л.25, PDF 26</x:v>
      </x:c>
      <x:c r="K35" s="22" t="str">
        <x:v>Исходная строка РД; не масса смонтированной конструкции.</x:v>
      </x:c>
    </x:row>
    <x:row r="36" ht="46" customHeight="1">
      <x:c r="A36" s="26" t="str">
        <x:v>МУ 7</x:v>
      </x:c>
      <x:c r="B36" s="26" t="str">
        <x:v>КР 1</x:v>
      </x:c>
      <x:c r="C36" s="26" t="str">
        <x:v>Каркас КР 1</x:v>
      </x:c>
      <x:c r="D36" s="26" t="str">
        <x:v>шт.</x:v>
      </x:c>
      <x:c r="E36" s="83" t="n">
        <x:v>31</x:v>
      </x:c>
      <x:c r="F36" s="84" t="n">
        <x:v>1</x:v>
      </x:c>
      <x:c r="G36" s="83" t="n">
        <x:f>E36*F36</x:f>
        <x:v>31</x:v>
      </x:c>
      <x:c r="H36" s="83"/>
      <x:c r="I36" s="83" t="str">
        <x:f>IF(H36="","",G36*H36)</x:f>
      </x:c>
      <x:c r="J36" s="26" t="str">
        <x:v>Л.25, PDF 26</x:v>
      </x:c>
      <x:c r="K36" s="26" t="str">
        <x:v>В РД; полная пространственная раскладка не смоделирована.</x:v>
      </x:c>
    </x:row>
    <x:row r="37" ht="46" customHeight="1">
      <x:c r="A37" s="22" t="str">
        <x:v>МУ 7</x:v>
      </x:c>
      <x:c r="B37" s="22" t="str">
        <x:v>4</x:v>
      </x:c>
      <x:c r="C37" s="22" t="str">
        <x:v>Уголок 75х5ГОСТ 8509-93 С245 ГОСТ 27772-2015 L=1750</x:v>
      </x:c>
      <x:c r="D37" s="22" t="str">
        <x:v>шт.</x:v>
      </x:c>
      <x:c r="E37" s="85" t="n">
        <x:v>2</x:v>
      </x:c>
      <x:c r="F37" s="86" t="n">
        <x:v>1</x:v>
      </x:c>
      <x:c r="G37" s="85" t="n">
        <x:f>E37*F37</x:f>
        <x:v>2</x:v>
      </x:c>
      <x:c r="H37" s="85" t="n">
        <x:v>10.15</x:v>
      </x:c>
      <x:c r="I37" s="85" t="n">
        <x:f>IF(H37="","",G37*H37)</x:f>
        <x:v>20.3</x:v>
      </x:c>
      <x:c r="J37" s="22" t="str">
        <x:v>Л.25, PDF 26</x:v>
      </x:c>
      <x:c r="K37" s="22" t="str">
        <x:v>Геометрия частичная; контроль по вкладке 07.</x:v>
      </x:c>
    </x:row>
    <x:row r="38" ht="46" customHeight="1">
      <x:c r="A38" s="26" t="str">
        <x:v>МУ 7</x:v>
      </x:c>
      <x:c r="B38" s="26" t="str">
        <x:v>5</x:v>
      </x:c>
      <x:c r="C38" s="26" t="str">
        <x:v>Уголок 75х5ГОСТ 8509-93 С245 ГОСТ 27772-2015 L=700</x:v>
      </x:c>
      <x:c r="D38" s="26" t="str">
        <x:v>шт.</x:v>
      </x:c>
      <x:c r="E38" s="83" t="n">
        <x:v>2</x:v>
      </x:c>
      <x:c r="F38" s="84" t="n">
        <x:v>1</x:v>
      </x:c>
      <x:c r="G38" s="83" t="n">
        <x:f>E38*F38</x:f>
        <x:v>2</x:v>
      </x:c>
      <x:c r="H38" s="83" t="n">
        <x:v>4.06</x:v>
      </x:c>
      <x:c r="I38" s="83" t="n">
        <x:f>IF(H38="","",G38*H38)</x:f>
        <x:v>8.12</x:v>
      </x:c>
      <x:c r="J38" s="26" t="str">
        <x:v>Л.25, PDF 26</x:v>
      </x:c>
      <x:c r="K38" s="26" t="str">
        <x:v>Геометрия частичная; контроль по вкладке 07.</x:v>
      </x:c>
    </x:row>
    <x:row r="39" ht="46" customHeight="1">
      <x:c r="A39" s="22" t="str">
        <x:v>МУ 7</x:v>
      </x:c>
      <x:c r="B39" s="22" t="str"/>
      <x:c r="C39" s="22" t="str">
        <x:v>Бетон В 20</x:v>
      </x:c>
      <x:c r="D39" s="22" t="str">
        <x:v>м³</x:v>
      </x:c>
      <x:c r="E39" s="85" t="n">
        <x:v>2.14</x:v>
      </x:c>
      <x:c r="F39" s="86" t="n">
        <x:v>1</x:v>
      </x:c>
      <x:c r="G39" s="85" t="n">
        <x:f>E39*F39</x:f>
        <x:v>2.14</x:v>
      </x:c>
      <x:c r="H39" s="85"/>
      <x:c r="I39" s="85" t="str">
        <x:f>IF(H39="","",G39*H39)</x:f>
      </x:c>
      <x:c r="J39" s="22" t="str">
        <x:v>Л.25, PDF 26</x:v>
      </x:c>
      <x:c r="K39" s="22" t="str">
        <x:v>Исходная строка РД; не масса смонтированной конструкции.</x:v>
      </x:c>
    </x:row>
    <x:row r="40" ht="46" customHeight="1">
      <x:c r="A40" s="26" t="str">
        <x:v>МУ 7</x:v>
      </x:c>
      <x:c r="B40" s="26" t="str"/>
      <x:c r="C40" s="26" t="str">
        <x:v>Профлист Н 75-750-0,8</x:v>
      </x:c>
      <x:c r="D40" s="26" t="str">
        <x:v>м²</x:v>
      </x:c>
      <x:c r="E40" s="83" t="n">
        <x:v>10.16</x:v>
      </x:c>
      <x:c r="F40" s="84" t="n">
        <x:v>1</x:v>
      </x:c>
      <x:c r="G40" s="83" t="n">
        <x:f>E40*F40</x:f>
        <x:v>10.16</x:v>
      </x:c>
      <x:c r="H40" s="83"/>
      <x:c r="I40" s="83" t="str">
        <x:f>IF(H40="","",G40*H40)</x:f>
      </x:c>
      <x:c r="J40" s="26" t="str">
        <x:v>Л.25, PDF 26</x:v>
      </x:c>
      <x:c r="K40" s="26" t="str">
        <x:v>Исходная строка РД; не масса смонтированной конструкции.</x:v>
      </x:c>
    </x:row>
    <x:row r="41" ht="46" customHeight="1">
      <x:c r="A41" s="22" t="str">
        <x:v>МУ 10</x:v>
      </x:c>
      <x:c r="B41" s="22" t="str">
        <x:v>Б 1</x:v>
      </x:c>
      <x:c r="C41" s="22" t="str">
        <x:v>Балка металлическая Б 1</x:v>
      </x:c>
      <x:c r="D41" s="22" t="str">
        <x:v>шт.</x:v>
      </x:c>
      <x:c r="E41" s="85" t="n">
        <x:v>2</x:v>
      </x:c>
      <x:c r="F41" s="86" t="n">
        <x:v>2</x:v>
      </x:c>
      <x:c r="G41" s="85" t="n">
        <x:f>E41*F41</x:f>
        <x:v>4</x:v>
      </x:c>
      <x:c r="H41" s="85"/>
      <x:c r="I41" s="85" t="str">
        <x:f>IF(H41="","",G41*H41)</x:f>
      </x:c>
      <x:c r="J41" s="22" t="str">
        <x:v>Л.26, PDF 27</x:v>
      </x:c>
      <x:c r="K41" s="22" t="str">
        <x:v>Сборка Б1. Состав/масса только на вкладке 04; здесь массу не суммировать.</x:v>
      </x:c>
    </x:row>
    <x:row r="42" ht="46" customHeight="1">
      <x:c r="A42" s="26" t="str">
        <x:v>МУ 10</x:v>
      </x:c>
      <x:c r="B42" s="26" t="str">
        <x:v>4</x:v>
      </x:c>
      <x:c r="C42" s="26" t="str">
        <x:v>12- А 500 С , L =5740</x:v>
      </x:c>
      <x:c r="D42" s="26" t="str">
        <x:v>шт.</x:v>
      </x:c>
      <x:c r="E42" s="83" t="n">
        <x:v>10</x:v>
      </x:c>
      <x:c r="F42" s="84" t="n">
        <x:v>2</x:v>
      </x:c>
      <x:c r="G42" s="83" t="n">
        <x:f>E42*F42</x:f>
        <x:v>20</x:v>
      </x:c>
      <x:c r="H42" s="83" t="n">
        <x:v>5.1</x:v>
      </x:c>
      <x:c r="I42" s="83" t="n">
        <x:f>IF(H42="","",G42*H42)</x:f>
        <x:v>102</x:v>
      </x:c>
      <x:c r="J42" s="26" t="str">
        <x:v>Л.26, PDF 27</x:v>
      </x:c>
      <x:c r="K42" s="26" t="str">
        <x:v>Исходная строка РД; не масса смонтированной конструкции.</x:v>
      </x:c>
    </x:row>
    <x:row r="43" ht="46" customHeight="1">
      <x:c r="A43" s="22" t="str">
        <x:v>МУ 10</x:v>
      </x:c>
      <x:c r="B43" s="22" t="str">
        <x:v>КР 1</x:v>
      </x:c>
      <x:c r="C43" s="22" t="str">
        <x:v>Каркас КР 1</x:v>
      </x:c>
      <x:c r="D43" s="22" t="str">
        <x:v>шт.</x:v>
      </x:c>
      <x:c r="E43" s="85" t="n">
        <x:v>31</x:v>
      </x:c>
      <x:c r="F43" s="86" t="n">
        <x:v>2</x:v>
      </x:c>
      <x:c r="G43" s="85" t="n">
        <x:f>E43*F43</x:f>
        <x:v>62</x:v>
      </x:c>
      <x:c r="H43" s="85"/>
      <x:c r="I43" s="85" t="str">
        <x:f>IF(H43="","",G43*H43)</x:f>
      </x:c>
      <x:c r="J43" s="22" t="str">
        <x:v>Л.26, PDF 27</x:v>
      </x:c>
      <x:c r="K43" s="22" t="str">
        <x:v>В РД; полная пространственная раскладка не смоделирована.</x:v>
      </x:c>
    </x:row>
    <x:row r="44" ht="46" customHeight="1">
      <x:c r="A44" s="26" t="str">
        <x:v>МУ 10</x:v>
      </x:c>
      <x:c r="B44" s="26" t="str"/>
      <x:c r="C44" s="26" t="str">
        <x:v>Бетон В 20</x:v>
      </x:c>
      <x:c r="D44" s="26" t="str">
        <x:v>м³</x:v>
      </x:c>
      <x:c r="E44" s="83" t="n">
        <x:v>1.75</x:v>
      </x:c>
      <x:c r="F44" s="84" t="n">
        <x:v>2</x:v>
      </x:c>
      <x:c r="G44" s="83" t="n">
        <x:f>E44*F44</x:f>
        <x:v>3.5</x:v>
      </x:c>
      <x:c r="H44" s="83"/>
      <x:c r="I44" s="83" t="str">
        <x:f>IF(H44="","",G44*H44)</x:f>
      </x:c>
      <x:c r="J44" s="26" t="str">
        <x:v>Л.26, PDF 27</x:v>
      </x:c>
      <x:c r="K44" s="26" t="str">
        <x:v>Исходная строка РД; не масса смонтированной конструкции.</x:v>
      </x:c>
    </x:row>
    <x:row r="45" ht="46" customHeight="1">
      <x:c r="A45" s="22" t="str">
        <x:v>МУ 10</x:v>
      </x:c>
      <x:c r="B45" s="22" t="str"/>
      <x:c r="C45" s="22" t="str">
        <x:v>Профлист Н 75-750-0,8</x:v>
      </x:c>
      <x:c r="D45" s="22" t="str">
        <x:v>м²</x:v>
      </x:c>
      <x:c r="E45" s="85" t="n">
        <x:v>10.44</x:v>
      </x:c>
      <x:c r="F45" s="86" t="n">
        <x:v>2</x:v>
      </x:c>
      <x:c r="G45" s="85" t="n">
        <x:f>E45*F45</x:f>
        <x:v>20.88</x:v>
      </x:c>
      <x:c r="H45" s="85"/>
      <x:c r="I45" s="85" t="str">
        <x:f>IF(H45="","",G45*H45)</x:f>
      </x:c>
      <x:c r="J45" s="22" t="str">
        <x:v>Л.26, PDF 27</x:v>
      </x:c>
      <x:c r="K45" s="22" t="str">
        <x:v>Исходная строка РД; не масса смонтированной конструкции.</x:v>
      </x:c>
    </x:row>
    <x:row r="46" ht="46" customHeight="1">
      <x:c r="A46" s="26" t="str">
        <x:v>МУ 14</x:v>
      </x:c>
      <x:c r="B46" s="26" t="str">
        <x:v>Б 1</x:v>
      </x:c>
      <x:c r="C46" s="26" t="str">
        <x:v>Балка металлическая Б 1</x:v>
      </x:c>
      <x:c r="D46" s="26" t="str">
        <x:v>шт.</x:v>
      </x:c>
      <x:c r="E46" s="83" t="n">
        <x:v>2</x:v>
      </x:c>
      <x:c r="F46" s="84" t="n">
        <x:v>1</x:v>
      </x:c>
      <x:c r="G46" s="83" t="n">
        <x:f>E46*F46</x:f>
        <x:v>2</x:v>
      </x:c>
      <x:c r="H46" s="83"/>
      <x:c r="I46" s="83" t="str">
        <x:f>IF(H46="","",G46*H46)</x:f>
      </x:c>
      <x:c r="J46" s="26" t="str">
        <x:v>Л.28, PDF 29</x:v>
      </x:c>
      <x:c r="K46" s="26" t="str">
        <x:v>Сборка Б1. Состав/масса только на вкладке 04; здесь массу не суммировать.</x:v>
      </x:c>
    </x:row>
    <x:row r="47" ht="46" customHeight="1">
      <x:c r="A47" s="22" t="str">
        <x:v>МУ 14</x:v>
      </x:c>
      <x:c r="B47" s="22" t="str">
        <x:v>2</x:v>
      </x:c>
      <x:c r="C47" s="22" t="str">
        <x:v>12- А 500 С , L =5740</x:v>
      </x:c>
      <x:c r="D47" s="22" t="str">
        <x:v>шт.</x:v>
      </x:c>
      <x:c r="E47" s="85" t="n">
        <x:v>10</x:v>
      </x:c>
      <x:c r="F47" s="86" t="n">
        <x:v>1</x:v>
      </x:c>
      <x:c r="G47" s="85" t="n">
        <x:f>E47*F47</x:f>
        <x:v>10</x:v>
      </x:c>
      <x:c r="H47" s="85" t="n">
        <x:v>5.1</x:v>
      </x:c>
      <x:c r="I47" s="85" t="n">
        <x:f>IF(H47="","",G47*H47)</x:f>
        <x:v>51</x:v>
      </x:c>
      <x:c r="J47" s="22" t="str">
        <x:v>Л.28, PDF 29</x:v>
      </x:c>
      <x:c r="K47" s="22" t="str">
        <x:v>Исходная строка РД; не масса смонтированной конструкции.</x:v>
      </x:c>
    </x:row>
    <x:row r="48" ht="46" customHeight="1">
      <x:c r="A48" s="26" t="str">
        <x:v>МУ 14</x:v>
      </x:c>
      <x:c r="B48" s="26" t="str">
        <x:v>КР 1</x:v>
      </x:c>
      <x:c r="C48" s="26" t="str">
        <x:v>Каркас КР 1</x:v>
      </x:c>
      <x:c r="D48" s="26" t="str">
        <x:v>шт.</x:v>
      </x:c>
      <x:c r="E48" s="83" t="n">
        <x:v>31</x:v>
      </x:c>
      <x:c r="F48" s="84" t="n">
        <x:v>1</x:v>
      </x:c>
      <x:c r="G48" s="83" t="n">
        <x:f>E48*F48</x:f>
        <x:v>31</x:v>
      </x:c>
      <x:c r="H48" s="83"/>
      <x:c r="I48" s="83" t="str">
        <x:f>IF(H48="","",G48*H48)</x:f>
      </x:c>
      <x:c r="J48" s="26" t="str">
        <x:v>Л.28, PDF 29</x:v>
      </x:c>
      <x:c r="K48" s="26" t="str">
        <x:v>В РД; полная пространственная раскладка не смоделирована.</x:v>
      </x:c>
    </x:row>
    <x:row r="49" ht="46" customHeight="1">
      <x:c r="A49" s="22" t="str">
        <x:v>МУ 14</x:v>
      </x:c>
      <x:c r="B49" s="22" t="str"/>
      <x:c r="C49" s="22" t="str">
        <x:v>Бетон В 20</x:v>
      </x:c>
      <x:c r="D49" s="22" t="str">
        <x:v>м³</x:v>
      </x:c>
      <x:c r="E49" s="85" t="n">
        <x:v>1.75</x:v>
      </x:c>
      <x:c r="F49" s="86" t="n">
        <x:v>1</x:v>
      </x:c>
      <x:c r="G49" s="85" t="n">
        <x:f>E49*F49</x:f>
        <x:v>1.75</x:v>
      </x:c>
      <x:c r="H49" s="85"/>
      <x:c r="I49" s="85" t="str">
        <x:f>IF(H49="","",G49*H49)</x:f>
      </x:c>
      <x:c r="J49" s="22" t="str">
        <x:v>Л.28, PDF 29</x:v>
      </x:c>
      <x:c r="K49" s="22" t="str">
        <x:v>Исходная строка РД; не масса смонтированной конструкции.</x:v>
      </x:c>
    </x:row>
    <x:row r="50" ht="46" customHeight="1">
      <x:c r="A50" s="26" t="str">
        <x:v>МУ 14</x:v>
      </x:c>
      <x:c r="B50" s="26" t="str"/>
      <x:c r="C50" s="26" t="str">
        <x:v>Профлист Н 75-750-0,8</x:v>
      </x:c>
      <x:c r="D50" s="26" t="str">
        <x:v>м²</x:v>
      </x:c>
      <x:c r="E50" s="83" t="n">
        <x:v>10.44</x:v>
      </x:c>
      <x:c r="F50" s="84" t="n">
        <x:v>1</x:v>
      </x:c>
      <x:c r="G50" s="83" t="n">
        <x:f>E50*F50</x:f>
        <x:v>10.44</x:v>
      </x:c>
      <x:c r="H50" s="83"/>
      <x:c r="I50" s="83" t="str">
        <x:f>IF(H50="","",G50*H50)</x:f>
      </x:c>
      <x:c r="J50" s="26" t="str">
        <x:v>Л.28, PDF 29</x:v>
      </x:c>
      <x:c r="K50" s="26" t="str">
        <x:v>Исходная строка РД; не масса смонтированной конструкции.</x:v>
      </x:c>
    </x:row>
    <x:row r="51" ht="46" customHeight="1">
      <x:c r="A51" s="22" t="str">
        <x:v>МУ 15</x:v>
      </x:c>
      <x:c r="B51" s="22" t="str">
        <x:v>1</x:v>
      </x:c>
      <x:c r="C51" s="22" t="str">
        <x:v>16 - А 500 С , м .п</x:v>
      </x:c>
      <x:c r="D51" s="22" t="str">
        <x:v>п.м</x:v>
      </x:c>
      <x:c r="E51" s="85" t="n">
        <x:v>101.6</x:v>
      </x:c>
      <x:c r="F51" s="86" t="n">
        <x:v>1</x:v>
      </x:c>
      <x:c r="G51" s="85" t="n">
        <x:f>E51*F51</x:f>
        <x:v>101.6</x:v>
      </x:c>
      <x:c r="H51" s="85" t="n">
        <x:v>1.578</x:v>
      </x:c>
      <x:c r="I51" s="85" t="n">
        <x:f>IF(H51="","",G51*H51)</x:f>
        <x:v>160.3248</x:v>
      </x:c>
      <x:c r="J51" s="22" t="str">
        <x:v>Л.23, PDF 24</x:v>
      </x:c>
      <x:c r="K51" s="22" t="str">
        <x:v>Исходная строка РД; не масса смонтированной конструкции.</x:v>
      </x:c>
    </x:row>
    <x:row r="52" ht="46" customHeight="1">
      <x:c r="A52" s="26" t="str">
        <x:v>МУ 15</x:v>
      </x:c>
      <x:c r="B52" s="26" t="str">
        <x:v>П 1</x:v>
      </x:c>
      <x:c r="C52" s="26" t="str">
        <x:v>12- А 500 С , L =1315</x:v>
      </x:c>
      <x:c r="D52" s="26" t="str">
        <x:v>шт.</x:v>
      </x:c>
      <x:c r="E52" s="83" t="n">
        <x:v>69</x:v>
      </x:c>
      <x:c r="F52" s="84" t="n">
        <x:v>1</x:v>
      </x:c>
      <x:c r="G52" s="83" t="n">
        <x:f>E52*F52</x:f>
        <x:v>69</x:v>
      </x:c>
      <x:c r="H52" s="83" t="n">
        <x:v>1.17</x:v>
      </x:c>
      <x:c r="I52" s="83" t="n">
        <x:f>IF(H52="","",G52*H52)</x:f>
        <x:v>80.72999999999999</x:v>
      </x:c>
      <x:c r="J52" s="26" t="str">
        <x:v>Л.23, PDF 24</x:v>
      </x:c>
      <x:c r="K52" s="26" t="str">
        <x:v>Исходная строка РД; не масса смонтированной конструкции.</x:v>
      </x:c>
    </x:row>
    <x:row r="53" ht="46" customHeight="1">
      <x:c r="A53" s="22" t="str">
        <x:v>МУ 15</x:v>
      </x:c>
      <x:c r="B53" s="22" t="str">
        <x:v>Ф 1</x:v>
      </x:c>
      <x:c r="C53" s="22" t="str">
        <x:v>10- А 500 С , L =1030</x:v>
      </x:c>
      <x:c r="D53" s="22" t="str">
        <x:v>шт.</x:v>
      </x:c>
      <x:c r="E53" s="85" t="n">
        <x:v>10</x:v>
      </x:c>
      <x:c r="F53" s="86" t="n">
        <x:v>1</x:v>
      </x:c>
      <x:c r="G53" s="85" t="n">
        <x:f>E53*F53</x:f>
        <x:v>10</x:v>
      </x:c>
      <x:c r="H53" s="85" t="n">
        <x:v>0.64</x:v>
      </x:c>
      <x:c r="I53" s="85" t="n">
        <x:f>IF(H53="","",G53*H53)</x:f>
        <x:v>6.4</x:v>
      </x:c>
      <x:c r="J53" s="22" t="str">
        <x:v>Л.23, PDF 24</x:v>
      </x:c>
      <x:c r="K53" s="22" t="str">
        <x:v>Исходная строка РД; не масса смонтированной конструкции.</x:v>
      </x:c>
    </x:row>
    <x:row r="54" ht="46" customHeight="1">
      <x:c r="A54" s="26" t="str">
        <x:v>МУ 15</x:v>
      </x:c>
      <x:c r="B54" s="26" t="str"/>
      <x:c r="C54" s="26" t="str">
        <x:v>Бетон В 20</x:v>
      </x:c>
      <x:c r="D54" s="26" t="str">
        <x:v>м³</x:v>
      </x:c>
      <x:c r="E54" s="83" t="n">
        <x:v>1.1</x:v>
      </x:c>
      <x:c r="F54" s="84" t="n">
        <x:v>1</x:v>
      </x:c>
      <x:c r="G54" s="83" t="n">
        <x:f>E54*F54</x:f>
        <x:v>1.1</x:v>
      </x:c>
      <x:c r="H54" s="83"/>
      <x:c r="I54" s="83" t="str">
        <x:f>IF(H54="","",G54*H54)</x:f>
      </x:c>
      <x:c r="J54" s="26" t="str">
        <x:v>Л.23, PDF 24</x:v>
      </x:c>
      <x:c r="K54" s="26" t="str">
        <x:v>Исходная строка РД; не масса смонтированной конструкции.</x:v>
      </x:c>
    </x:row>
    <x:row r="55" ht="46" customHeight="1">
      <x:c r="A55" s="22" t="str">
        <x:v>МУ 16</x:v>
      </x:c>
      <x:c r="B55" s="22" t="str">
        <x:v>Б 1</x:v>
      </x:c>
      <x:c r="C55" s="22" t="str">
        <x:v>Балка металлическая Б 1</x:v>
      </x:c>
      <x:c r="D55" s="22" t="str">
        <x:v>шт.</x:v>
      </x:c>
      <x:c r="E55" s="85" t="n">
        <x:v>2</x:v>
      </x:c>
      <x:c r="F55" s="86" t="n">
        <x:v>1</x:v>
      </x:c>
      <x:c r="G55" s="85" t="n">
        <x:f>E55*F55</x:f>
        <x:v>2</x:v>
      </x:c>
      <x:c r="H55" s="85"/>
      <x:c r="I55" s="85" t="str">
        <x:f>IF(H55="","",G55*H55)</x:f>
      </x:c>
      <x:c r="J55" s="22" t="str">
        <x:v>Л.29, PDF 30</x:v>
      </x:c>
      <x:c r="K55" s="22" t="str">
        <x:v>Сборка Б1. Состав/масса только на вкладке 04; здесь массу не суммировать.</x:v>
      </x:c>
    </x:row>
    <x:row r="56" ht="46" customHeight="1">
      <x:c r="A56" s="26" t="str">
        <x:v>МУ 16</x:v>
      </x:c>
      <x:c r="B56" s="26" t="str">
        <x:v>3</x:v>
      </x:c>
      <x:c r="C56" s="26" t="str">
        <x:v>12- А 500 С , L =5740</x:v>
      </x:c>
      <x:c r="D56" s="26" t="str">
        <x:v>шт.</x:v>
      </x:c>
      <x:c r="E56" s="83" t="n">
        <x:v>10</x:v>
      </x:c>
      <x:c r="F56" s="84" t="n">
        <x:v>1</x:v>
      </x:c>
      <x:c r="G56" s="83" t="n">
        <x:f>E56*F56</x:f>
        <x:v>10</x:v>
      </x:c>
      <x:c r="H56" s="83" t="n">
        <x:v>5.1</x:v>
      </x:c>
      <x:c r="I56" s="83" t="n">
        <x:f>IF(H56="","",G56*H56)</x:f>
        <x:v>51</x:v>
      </x:c>
      <x:c r="J56" s="26" t="str">
        <x:v>Л.29, PDF 30</x:v>
      </x:c>
      <x:c r="K56" s="26" t="str">
        <x:v>Исходная строка РД; не масса смонтированной конструкции.</x:v>
      </x:c>
    </x:row>
    <x:row r="57" ht="46" customHeight="1">
      <x:c r="A57" s="22" t="str">
        <x:v>МУ 16</x:v>
      </x:c>
      <x:c r="B57" s="22" t="str">
        <x:v>КР 1</x:v>
      </x:c>
      <x:c r="C57" s="22" t="str">
        <x:v>Каркас КР 1</x:v>
      </x:c>
      <x:c r="D57" s="22" t="str">
        <x:v>шт.</x:v>
      </x:c>
      <x:c r="E57" s="85" t="n">
        <x:v>31</x:v>
      </x:c>
      <x:c r="F57" s="86" t="n">
        <x:v>1</x:v>
      </x:c>
      <x:c r="G57" s="85" t="n">
        <x:f>E57*F57</x:f>
        <x:v>31</x:v>
      </x:c>
      <x:c r="H57" s="85"/>
      <x:c r="I57" s="85" t="str">
        <x:f>IF(H57="","",G57*H57)</x:f>
      </x:c>
      <x:c r="J57" s="22" t="str">
        <x:v>Л.29, PDF 30</x:v>
      </x:c>
      <x:c r="K57" s="22" t="str">
        <x:v>В РД; полная пространственная раскладка не смоделирована.</x:v>
      </x:c>
    </x:row>
    <x:row r="58" ht="46" customHeight="1">
      <x:c r="A58" s="26" t="str">
        <x:v>МУ 16</x:v>
      </x:c>
      <x:c r="B58" s="26" t="str">
        <x:v>1</x:v>
      </x:c>
      <x:c r="C58" s="26" t="str">
        <x:v>Уголок 75х5ГОСТ 8509-93 С245 ГОСТ 27772-2015 L=1750</x:v>
      </x:c>
      <x:c r="D58" s="26" t="str">
        <x:v>шт.</x:v>
      </x:c>
      <x:c r="E58" s="83" t="n">
        <x:v>2</x:v>
      </x:c>
      <x:c r="F58" s="84" t="n">
        <x:v>1</x:v>
      </x:c>
      <x:c r="G58" s="83" t="n">
        <x:f>E58*F58</x:f>
        <x:v>2</x:v>
      </x:c>
      <x:c r="H58" s="83" t="n">
        <x:v>10.15</x:v>
      </x:c>
      <x:c r="I58" s="83" t="n">
        <x:f>IF(H58="","",G58*H58)</x:f>
        <x:v>20.3</x:v>
      </x:c>
      <x:c r="J58" s="26" t="str">
        <x:v>Л.29, PDF 30</x:v>
      </x:c>
      <x:c r="K58" s="26" t="str">
        <x:v>Геометрия частичная; контроль по вкладке 07.</x:v>
      </x:c>
    </x:row>
    <x:row r="59" ht="46" customHeight="1">
      <x:c r="A59" s="22" t="str">
        <x:v>МУ 16</x:v>
      </x:c>
      <x:c r="B59" s="22" t="str">
        <x:v>2</x:v>
      </x:c>
      <x:c r="C59" s="22" t="str">
        <x:v>Уголок 75х5ГОСТ 8509-93 С245 ГОСТ 27772-2015 L= 600</x:v>
      </x:c>
      <x:c r="D59" s="22" t="str">
        <x:v>шт.</x:v>
      </x:c>
      <x:c r="E59" s="85" t="n">
        <x:v>2</x:v>
      </x:c>
      <x:c r="F59" s="86" t="n">
        <x:v>1</x:v>
      </x:c>
      <x:c r="G59" s="85" t="n">
        <x:f>E59*F59</x:f>
        <x:v>2</x:v>
      </x:c>
      <x:c r="H59" s="85" t="n">
        <x:v>3.48</x:v>
      </x:c>
      <x:c r="I59" s="85" t="n">
        <x:f>IF(H59="","",G59*H59)</x:f>
        <x:v>6.96</x:v>
      </x:c>
      <x:c r="J59" s="22" t="str">
        <x:v>Л.29, PDF 30</x:v>
      </x:c>
      <x:c r="K59" s="22" t="str">
        <x:v>Геометрия частичная; контроль по вкладке 07.</x:v>
      </x:c>
    </x:row>
    <x:row r="60" ht="46" customHeight="1">
      <x:c r="A60" s="26" t="str">
        <x:v>МУ 16</x:v>
      </x:c>
      <x:c r="B60" s="26" t="str"/>
      <x:c r="C60" s="26" t="str">
        <x:v>Бетон В 20</x:v>
      </x:c>
      <x:c r="D60" s="26" t="str">
        <x:v>м³</x:v>
      </x:c>
      <x:c r="E60" s="83" t="n">
        <x:v>1.75</x:v>
      </x:c>
      <x:c r="F60" s="84" t="n">
        <x:v>1</x:v>
      </x:c>
      <x:c r="G60" s="83" t="n">
        <x:f>E60*F60</x:f>
        <x:v>1.75</x:v>
      </x:c>
      <x:c r="H60" s="83"/>
      <x:c r="I60" s="83" t="str">
        <x:f>IF(H60="","",G60*H60)</x:f>
      </x:c>
      <x:c r="J60" s="26" t="str">
        <x:v>Л.29, PDF 30</x:v>
      </x:c>
      <x:c r="K60" s="26" t="str">
        <x:v>Исходная строка РД; не масса смонтированной конструкции.</x:v>
      </x:c>
    </x:row>
    <x:row r="61" ht="46" customHeight="1">
      <x:c r="A61" s="22" t="str">
        <x:v>МУ 16</x:v>
      </x:c>
      <x:c r="B61" s="22" t="str"/>
      <x:c r="C61" s="22" t="str">
        <x:v>Профлист Н 75-750-0,8</x:v>
      </x:c>
      <x:c r="D61" s="22" t="str">
        <x:v>м²</x:v>
      </x:c>
      <x:c r="E61" s="85" t="n">
        <x:v>10.34</x:v>
      </x:c>
      <x:c r="F61" s="86" t="n">
        <x:v>1</x:v>
      </x:c>
      <x:c r="G61" s="85" t="n">
        <x:f>E61*F61</x:f>
        <x:v>10.34</x:v>
      </x:c>
      <x:c r="H61" s="85"/>
      <x:c r="I61" s="85" t="str">
        <x:f>IF(H61="","",G61*H61)</x:f>
      </x:c>
      <x:c r="J61" s="22" t="str">
        <x:v>Л.29, PDF 30</x:v>
      </x:c>
      <x:c r="K61" s="22" t="str">
        <x:v>Исходная строка РД; не масса смонтированной конструкции.</x:v>
      </x:c>
    </x:row>
    <x:row r="62" ht="46" customHeight="1">
      <x:c r="A62" s="26" t="str">
        <x:v>МУ 17</x:v>
      </x:c>
      <x:c r="B62" s="26" t="str">
        <x:v>Б 1</x:v>
      </x:c>
      <x:c r="C62" s="26" t="str">
        <x:v>Балка металлическая Б 1</x:v>
      </x:c>
      <x:c r="D62" s="26" t="str">
        <x:v>шт.</x:v>
      </x:c>
      <x:c r="E62" s="83" t="n">
        <x:v>2</x:v>
      </x:c>
      <x:c r="F62" s="84" t="n">
        <x:v>1</x:v>
      </x:c>
      <x:c r="G62" s="83" t="n">
        <x:f>E62*F62</x:f>
        <x:v>2</x:v>
      </x:c>
      <x:c r="H62" s="83"/>
      <x:c r="I62" s="83" t="str">
        <x:f>IF(H62="","",G62*H62)</x:f>
      </x:c>
      <x:c r="J62" s="26" t="str">
        <x:v>Л.29, PDF 30</x:v>
      </x:c>
      <x:c r="K62" s="26" t="str">
        <x:v>Сборка Б1. Состав/масса только на вкладке 04; здесь массу не суммировать.</x:v>
      </x:c>
    </x:row>
    <x:row r="63" ht="46" customHeight="1">
      <x:c r="A63" s="22" t="str">
        <x:v>МУ 17</x:v>
      </x:c>
      <x:c r="B63" s="22" t="str">
        <x:v>7</x:v>
      </x:c>
      <x:c r="C63" s="22" t="str">
        <x:v>12- А 500 С , L =5740</x:v>
      </x:c>
      <x:c r="D63" s="22" t="str">
        <x:v>шт.</x:v>
      </x:c>
      <x:c r="E63" s="85" t="n">
        <x:v>10</x:v>
      </x:c>
      <x:c r="F63" s="86" t="n">
        <x:v>1</x:v>
      </x:c>
      <x:c r="G63" s="85" t="n">
        <x:f>E63*F63</x:f>
        <x:v>10</x:v>
      </x:c>
      <x:c r="H63" s="85" t="n">
        <x:v>5.1</x:v>
      </x:c>
      <x:c r="I63" s="85" t="n">
        <x:f>IF(H63="","",G63*H63)</x:f>
        <x:v>51</x:v>
      </x:c>
      <x:c r="J63" s="22" t="str">
        <x:v>Л.29, PDF 30</x:v>
      </x:c>
      <x:c r="K63" s="22" t="str">
        <x:v>Исходная строка РД; не масса смонтированной конструкции.</x:v>
      </x:c>
    </x:row>
    <x:row r="64" ht="46" customHeight="1">
      <x:c r="A64" s="26" t="str">
        <x:v>МУ 17</x:v>
      </x:c>
      <x:c r="B64" s="26" t="str">
        <x:v>КР 1</x:v>
      </x:c>
      <x:c r="C64" s="26" t="str">
        <x:v>Каркас КР 1</x:v>
      </x:c>
      <x:c r="D64" s="26" t="str">
        <x:v>шт.</x:v>
      </x:c>
      <x:c r="E64" s="83" t="n">
        <x:v>31</x:v>
      </x:c>
      <x:c r="F64" s="84" t="n">
        <x:v>1</x:v>
      </x:c>
      <x:c r="G64" s="83" t="n">
        <x:f>E64*F64</x:f>
        <x:v>31</x:v>
      </x:c>
      <x:c r="H64" s="83"/>
      <x:c r="I64" s="83" t="str">
        <x:f>IF(H64="","",G64*H64)</x:f>
      </x:c>
      <x:c r="J64" s="26" t="str">
        <x:v>Л.29, PDF 30</x:v>
      </x:c>
      <x:c r="K64" s="26" t="str">
        <x:v>В РД; полная пространственная раскладка не смоделирована.</x:v>
      </x:c>
    </x:row>
    <x:row r="65" ht="46" customHeight="1">
      <x:c r="A65" s="22" t="str">
        <x:v>МУ 17</x:v>
      </x:c>
      <x:c r="B65" s="22" t="str">
        <x:v>4</x:v>
      </x:c>
      <x:c r="C65" s="22" t="str">
        <x:v>Уголок 75х5ГОСТ 8509-93 С245 ГОСТ 27772-2015 L=1750</x:v>
      </x:c>
      <x:c r="D65" s="22" t="str">
        <x:v>шт.</x:v>
      </x:c>
      <x:c r="E65" s="85" t="n">
        <x:v>3</x:v>
      </x:c>
      <x:c r="F65" s="86" t="n">
        <x:v>1</x:v>
      </x:c>
      <x:c r="G65" s="85" t="n">
        <x:f>E65*F65</x:f>
        <x:v>3</x:v>
      </x:c>
      <x:c r="H65" s="85" t="n">
        <x:v>10.15</x:v>
      </x:c>
      <x:c r="I65" s="85" t="n">
        <x:f>IF(H65="","",G65*H65)</x:f>
        <x:v>30.450000000000003</x:v>
      </x:c>
      <x:c r="J65" s="22" t="str">
        <x:v>Л.29, PDF 30</x:v>
      </x:c>
      <x:c r="K65" s="22" t="str">
        <x:v>Геометрия частичная; контроль по вкладке 07.</x:v>
      </x:c>
    </x:row>
    <x:row r="66" ht="46" customHeight="1">
      <x:c r="A66" s="26" t="str">
        <x:v>МУ 17</x:v>
      </x:c>
      <x:c r="B66" s="26" t="str">
        <x:v>5</x:v>
      </x:c>
      <x:c r="C66" s="26" t="str">
        <x:v>Уголок 75х5ГОСТ 8509-93 С245 ГОСТ 27772-2015 L= 1900</x:v>
      </x:c>
      <x:c r="D66" s="26" t="str">
        <x:v>шт.</x:v>
      </x:c>
      <x:c r="E66" s="83" t="n">
        <x:v>2</x:v>
      </x:c>
      <x:c r="F66" s="84" t="n">
        <x:v>1</x:v>
      </x:c>
      <x:c r="G66" s="83" t="n">
        <x:f>E66*F66</x:f>
        <x:v>2</x:v>
      </x:c>
      <x:c r="H66" s="83" t="n">
        <x:v>11.02</x:v>
      </x:c>
      <x:c r="I66" s="83" t="n">
        <x:f>IF(H66="","",G66*H66)</x:f>
        <x:v>22.04</x:v>
      </x:c>
      <x:c r="J66" s="26" t="str">
        <x:v>Л.29, PDF 30</x:v>
      </x:c>
      <x:c r="K66" s="26" t="str">
        <x:v>Геометрия частичная; контроль по вкладке 07.</x:v>
      </x:c>
    </x:row>
    <x:row r="67" ht="46" customHeight="1">
      <x:c r="A67" s="22" t="str">
        <x:v>МУ 17</x:v>
      </x:c>
      <x:c r="B67" s="22" t="str">
        <x:v>6</x:v>
      </x:c>
      <x:c r="C67" s="22" t="str">
        <x:v>Уголок 75х5ГОСТ 8509-93 С245 ГОСТ 27772-2015 L= 825</x:v>
      </x:c>
      <x:c r="D67" s="22" t="str">
        <x:v>шт.</x:v>
      </x:c>
      <x:c r="E67" s="85" t="n">
        <x:v>2</x:v>
      </x:c>
      <x:c r="F67" s="86" t="n">
        <x:v>1</x:v>
      </x:c>
      <x:c r="G67" s="85" t="n">
        <x:f>E67*F67</x:f>
        <x:v>2</x:v>
      </x:c>
      <x:c r="H67" s="85" t="n">
        <x:v>4.8</x:v>
      </x:c>
      <x:c r="I67" s="85" t="n">
        <x:f>IF(H67="","",G67*H67)</x:f>
        <x:v>9.6</x:v>
      </x:c>
      <x:c r="J67" s="22" t="str">
        <x:v>Л.29, PDF 30</x:v>
      </x:c>
      <x:c r="K67" s="22" t="str">
        <x:v>Геометрия частичная; контроль по вкладке 07.</x:v>
      </x:c>
    </x:row>
    <x:row r="68" ht="46" customHeight="1">
      <x:c r="A68" s="26" t="str">
        <x:v>МУ 17</x:v>
      </x:c>
      <x:c r="B68" s="26" t="str"/>
      <x:c r="C68" s="26" t="str">
        <x:v>Бетон В 20</x:v>
      </x:c>
      <x:c r="D68" s="26" t="str">
        <x:v>м³</x:v>
      </x:c>
      <x:c r="E68" s="83" t="n">
        <x:v>1.75</x:v>
      </x:c>
      <x:c r="F68" s="84" t="n">
        <x:v>1</x:v>
      </x:c>
      <x:c r="G68" s="83" t="n">
        <x:f>E68*F68</x:f>
        <x:v>1.75</x:v>
      </x:c>
      <x:c r="H68" s="83"/>
      <x:c r="I68" s="83" t="str">
        <x:f>IF(H68="","",G68*H68)</x:f>
      </x:c>
      <x:c r="J68" s="26" t="str">
        <x:v>Л.29, PDF 30</x:v>
      </x:c>
      <x:c r="K68" s="26" t="str">
        <x:v>Исходная строка РД; не масса смонтированной конструкции.</x:v>
      </x:c>
    </x:row>
    <x:row r="69" ht="46" customHeight="1">
      <x:c r="A69" s="22" t="str">
        <x:v>МУ 17</x:v>
      </x:c>
      <x:c r="B69" s="22" t="str"/>
      <x:c r="C69" s="22" t="str">
        <x:v>Профлист Н 75-750-0,8</x:v>
      </x:c>
      <x:c r="D69" s="22" t="str">
        <x:v>м²</x:v>
      </x:c>
      <x:c r="E69" s="85" t="n">
        <x:v>9.11</x:v>
      </x:c>
      <x:c r="F69" s="86" t="n">
        <x:v>1</x:v>
      </x:c>
      <x:c r="G69" s="85" t="n">
        <x:f>E69*F69</x:f>
        <x:v>9.11</x:v>
      </x:c>
      <x:c r="H69" s="85"/>
      <x:c r="I69" s="85" t="str">
        <x:f>IF(H69="","",G69*H69)</x:f>
      </x:c>
      <x:c r="J69" s="22" t="str">
        <x:v>Л.29, PDF 30</x:v>
      </x:c>
      <x:c r="K69" s="22" t="str">
        <x:v>Исходная строка РД; не масса смонтированной конструкции.</x:v>
      </x:c>
    </x:row>
    <x:row r="70" ht="46" customHeight="1">
      <x:c r="A70" s="26" t="str">
        <x:v>МУ 18</x:v>
      </x:c>
      <x:c r="B70" s="26" t="str">
        <x:v>Б 1</x:v>
      </x:c>
      <x:c r="C70" s="26" t="str">
        <x:v>Балка металлическая Б 1</x:v>
      </x:c>
      <x:c r="D70" s="26" t="str">
        <x:v>шт.</x:v>
      </x:c>
      <x:c r="E70" s="83" t="n">
        <x:v>2</x:v>
      </x:c>
      <x:c r="F70" s="84" t="n">
        <x:v>1</x:v>
      </x:c>
      <x:c r="G70" s="83" t="n">
        <x:f>E70*F70</x:f>
        <x:v>2</x:v>
      </x:c>
      <x:c r="H70" s="83"/>
      <x:c r="I70" s="83" t="str">
        <x:f>IF(H70="","",G70*H70)</x:f>
      </x:c>
      <x:c r="J70" s="26" t="str">
        <x:v>Л.28, PDF 29</x:v>
      </x:c>
      <x:c r="K70" s="26" t="str">
        <x:v>Сборка Б1. Состав/масса только на вкладке 04; здесь массу не суммировать.</x:v>
      </x:c>
    </x:row>
    <x:row r="71" ht="46" customHeight="1">
      <x:c r="A71" s="22" t="str">
        <x:v>МУ 18</x:v>
      </x:c>
      <x:c r="B71" s="22" t="str">
        <x:v>6</x:v>
      </x:c>
      <x:c r="C71" s="22" t="str">
        <x:v>12- А 500 С , L =5740</x:v>
      </x:c>
      <x:c r="D71" s="22" t="str">
        <x:v>шт.</x:v>
      </x:c>
      <x:c r="E71" s="85" t="n">
        <x:v>10</x:v>
      </x:c>
      <x:c r="F71" s="86" t="n">
        <x:v>1</x:v>
      </x:c>
      <x:c r="G71" s="85" t="n">
        <x:f>E71*F71</x:f>
        <x:v>10</x:v>
      </x:c>
      <x:c r="H71" s="85" t="n">
        <x:v>5.1</x:v>
      </x:c>
      <x:c r="I71" s="85" t="n">
        <x:f>IF(H71="","",G71*H71)</x:f>
        <x:v>51</x:v>
      </x:c>
      <x:c r="J71" s="22" t="str">
        <x:v>Л.28, PDF 29</x:v>
      </x:c>
      <x:c r="K71" s="22" t="str">
        <x:v>Исходная строка РД; не масса смонтированной конструкции.</x:v>
      </x:c>
    </x:row>
    <x:row r="72" ht="46" customHeight="1">
      <x:c r="A72" s="26" t="str">
        <x:v>МУ 18</x:v>
      </x:c>
      <x:c r="B72" s="26" t="str">
        <x:v>КР 1</x:v>
      </x:c>
      <x:c r="C72" s="26" t="str">
        <x:v>Каркас КР 1</x:v>
      </x:c>
      <x:c r="D72" s="26" t="str">
        <x:v>шт.</x:v>
      </x:c>
      <x:c r="E72" s="83" t="n">
        <x:v>31</x:v>
      </x:c>
      <x:c r="F72" s="84" t="n">
        <x:v>1</x:v>
      </x:c>
      <x:c r="G72" s="83" t="n">
        <x:f>E72*F72</x:f>
        <x:v>31</x:v>
      </x:c>
      <x:c r="H72" s="83"/>
      <x:c r="I72" s="83" t="str">
        <x:f>IF(H72="","",G72*H72)</x:f>
      </x:c>
      <x:c r="J72" s="26" t="str">
        <x:v>Л.28, PDF 29</x:v>
      </x:c>
      <x:c r="K72" s="26" t="str">
        <x:v>В РД; полная пространственная раскладка не смоделирована.</x:v>
      </x:c>
    </x:row>
    <x:row r="73" ht="46" customHeight="1">
      <x:c r="A73" s="22" t="str">
        <x:v>МУ 18</x:v>
      </x:c>
      <x:c r="B73" s="22" t="str">
        <x:v>3</x:v>
      </x:c>
      <x:c r="C73" s="22" t="str">
        <x:v>Уголок 75х5ГОСТ 8509-93 С245 ГОСТ 27772-2015 L=1750</x:v>
      </x:c>
      <x:c r="D73" s="22" t="str">
        <x:v>шт.</x:v>
      </x:c>
      <x:c r="E73" s="85" t="n">
        <x:v>4</x:v>
      </x:c>
      <x:c r="F73" s="86" t="n">
        <x:v>1</x:v>
      </x:c>
      <x:c r="G73" s="85" t="n">
        <x:f>E73*F73</x:f>
        <x:v>4</x:v>
      </x:c>
      <x:c r="H73" s="85" t="n">
        <x:v>10.15</x:v>
      </x:c>
      <x:c r="I73" s="85" t="n">
        <x:f>IF(H73="","",G73*H73)</x:f>
        <x:v>40.6</x:v>
      </x:c>
      <x:c r="J73" s="22" t="str">
        <x:v>Л.28, PDF 29</x:v>
      </x:c>
      <x:c r="K73" s="22" t="str">
        <x:v>Геометрия частичная; контроль по вкладке 07.</x:v>
      </x:c>
    </x:row>
    <x:row r="74" ht="46" customHeight="1">
      <x:c r="A74" s="26" t="str">
        <x:v>МУ 18</x:v>
      </x:c>
      <x:c r="B74" s="26" t="str">
        <x:v>4</x:v>
      </x:c>
      <x:c r="C74" s="26" t="str">
        <x:v>Уголок 75х5ГОСТ 8509-93 С245 ГОСТ 27772-2015 L=1100</x:v>
      </x:c>
      <x:c r="D74" s="26" t="str">
        <x:v>шт.</x:v>
      </x:c>
      <x:c r="E74" s="83" t="n">
        <x:v>2</x:v>
      </x:c>
      <x:c r="F74" s="84" t="n">
        <x:v>1</x:v>
      </x:c>
      <x:c r="G74" s="83" t="n">
        <x:f>E74*F74</x:f>
        <x:v>2</x:v>
      </x:c>
      <x:c r="H74" s="83" t="n">
        <x:v>6.38</x:v>
      </x:c>
      <x:c r="I74" s="83" t="n">
        <x:f>IF(H74="","",G74*H74)</x:f>
        <x:v>12.76</x:v>
      </x:c>
      <x:c r="J74" s="26" t="str">
        <x:v>Л.28, PDF 29</x:v>
      </x:c>
      <x:c r="K74" s="26" t="str">
        <x:v>Геометрия частичная; контроль по вкладке 07.</x:v>
      </x:c>
    </x:row>
    <x:row r="75" ht="46" customHeight="1">
      <x:c r="A75" s="22" t="str">
        <x:v>МУ 18</x:v>
      </x:c>
      <x:c r="B75" s="22" t="str">
        <x:v>5</x:v>
      </x:c>
      <x:c r="C75" s="22" t="str">
        <x:v>Уголок 75х5ГОСТ 8509-93 С245 ГОСТ 27772-2015 L=1900</x:v>
      </x:c>
      <x:c r="D75" s="22" t="str">
        <x:v>шт.</x:v>
      </x:c>
      <x:c r="E75" s="85" t="n">
        <x:v>2</x:v>
      </x:c>
      <x:c r="F75" s="86" t="n">
        <x:v>1</x:v>
      </x:c>
      <x:c r="G75" s="85" t="n">
        <x:f>E75*F75</x:f>
        <x:v>2</x:v>
      </x:c>
      <x:c r="H75" s="85" t="n">
        <x:v>11.02</x:v>
      </x:c>
      <x:c r="I75" s="85" t="n">
        <x:f>IF(H75="","",G75*H75)</x:f>
        <x:v>22.04</x:v>
      </x:c>
      <x:c r="J75" s="22" t="str">
        <x:v>Л.28, PDF 29</x:v>
      </x:c>
      <x:c r="K75" s="22" t="str">
        <x:v>Геометрия частичная; контроль по вкладке 07.</x:v>
      </x:c>
    </x:row>
    <x:row r="76" ht="46" customHeight="1">
      <x:c r="A76" s="26" t="str">
        <x:v>МУ 18</x:v>
      </x:c>
      <x:c r="B76" s="26" t="str"/>
      <x:c r="C76" s="26" t="str">
        <x:v>Бетон В 20</x:v>
      </x:c>
      <x:c r="D76" s="26" t="str">
        <x:v>м³</x:v>
      </x:c>
      <x:c r="E76" s="83" t="n">
        <x:v>1.75</x:v>
      </x:c>
      <x:c r="F76" s="84" t="n">
        <x:v>1</x:v>
      </x:c>
      <x:c r="G76" s="83" t="n">
        <x:f>E76*F76</x:f>
        <x:v>1.75</x:v>
      </x:c>
      <x:c r="H76" s="83"/>
      <x:c r="I76" s="83" t="str">
        <x:f>IF(H76="","",G76*H76)</x:f>
      </x:c>
      <x:c r="J76" s="26" t="str">
        <x:v>Л.28, PDF 29</x:v>
      </x:c>
      <x:c r="K76" s="26" t="str">
        <x:v>Исходная строка РД; не масса смонтированной конструкции.</x:v>
      </x:c>
    </x:row>
    <x:row r="77" ht="46" customHeight="1">
      <x:c r="A77" s="22" t="str">
        <x:v>МУ 18</x:v>
      </x:c>
      <x:c r="B77" s="22" t="str"/>
      <x:c r="C77" s="22" t="str">
        <x:v>Профлист Н 75-750-0,8</x:v>
      </x:c>
      <x:c r="D77" s="22" t="str">
        <x:v>м²</x:v>
      </x:c>
      <x:c r="E77" s="85" t="n">
        <x:v>8.83</x:v>
      </x:c>
      <x:c r="F77" s="86" t="n">
        <x:v>1</x:v>
      </x:c>
      <x:c r="G77" s="85" t="n">
        <x:f>E77*F77</x:f>
        <x:v>8.83</x:v>
      </x:c>
      <x:c r="H77" s="85"/>
      <x:c r="I77" s="85" t="str">
        <x:f>IF(H77="","",G77*H77)</x:f>
      </x:c>
      <x:c r="J77" s="22" t="str">
        <x:v>Л.28, PDF 29</x:v>
      </x:c>
      <x:c r="K77" s="22" t="str">
        <x:v>Исходная строка РД; не масса смонтированной конструкции.</x:v>
      </x:c>
    </x:row>
    <x:row r="78" ht="46" customHeight="1">
      <x:c r="A78" s="26" t="str">
        <x:v>МУ 19</x:v>
      </x:c>
      <x:c r="B78" s="26" t="str">
        <x:v>Б 1</x:v>
      </x:c>
      <x:c r="C78" s="26" t="str">
        <x:v>Балка металлическая Б 1</x:v>
      </x:c>
      <x:c r="D78" s="26" t="str">
        <x:v>шт.</x:v>
      </x:c>
      <x:c r="E78" s="83" t="n">
        <x:v>2</x:v>
      </x:c>
      <x:c r="F78" s="84" t="n">
        <x:v>1</x:v>
      </x:c>
      <x:c r="G78" s="83" t="n">
        <x:f>E78*F78</x:f>
        <x:v>2</x:v>
      </x:c>
      <x:c r="H78" s="83"/>
      <x:c r="I78" s="83" t="str">
        <x:f>IF(H78="","",G78*H78)</x:f>
      </x:c>
      <x:c r="J78" s="26" t="str">
        <x:v>Л.30, PDF 31</x:v>
      </x:c>
      <x:c r="K78" s="26" t="str">
        <x:v>Сборка Б1. Состав/масса только на вкладке 04; здесь массу не суммировать.</x:v>
      </x:c>
    </x:row>
    <x:row r="79" ht="46" customHeight="1">
      <x:c r="A79" s="22" t="str">
        <x:v>МУ 19</x:v>
      </x:c>
      <x:c r="B79" s="22" t="str">
        <x:v>4</x:v>
      </x:c>
      <x:c r="C79" s="22" t="str">
        <x:v>12- А 500 С , L =5740</x:v>
      </x:c>
      <x:c r="D79" s="22" t="str">
        <x:v>шт.</x:v>
      </x:c>
      <x:c r="E79" s="85" t="n">
        <x:v>10</x:v>
      </x:c>
      <x:c r="F79" s="86" t="n">
        <x:v>1</x:v>
      </x:c>
      <x:c r="G79" s="85" t="n">
        <x:f>E79*F79</x:f>
        <x:v>10</x:v>
      </x:c>
      <x:c r="H79" s="85" t="n">
        <x:v>5.1</x:v>
      </x:c>
      <x:c r="I79" s="85" t="n">
        <x:f>IF(H79="","",G79*H79)</x:f>
        <x:v>51</x:v>
      </x:c>
      <x:c r="J79" s="22" t="str">
        <x:v>Л.30, PDF 31</x:v>
      </x:c>
      <x:c r="K79" s="22" t="str">
        <x:v>Исходная строка РД; не масса смонтированной конструкции.</x:v>
      </x:c>
    </x:row>
    <x:row r="80" ht="46" customHeight="1">
      <x:c r="A80" s="26" t="str">
        <x:v>МУ 19</x:v>
      </x:c>
      <x:c r="B80" s="26" t="str">
        <x:v>КР 1</x:v>
      </x:c>
      <x:c r="C80" s="26" t="str">
        <x:v>Каркас КР 1</x:v>
      </x:c>
      <x:c r="D80" s="26" t="str">
        <x:v>шт.</x:v>
      </x:c>
      <x:c r="E80" s="83" t="n">
        <x:v>31</x:v>
      </x:c>
      <x:c r="F80" s="84" t="n">
        <x:v>1</x:v>
      </x:c>
      <x:c r="G80" s="83" t="n">
        <x:f>E80*F80</x:f>
        <x:v>31</x:v>
      </x:c>
      <x:c r="H80" s="83"/>
      <x:c r="I80" s="83" t="str">
        <x:f>IF(H80="","",G80*H80)</x:f>
      </x:c>
      <x:c r="J80" s="26" t="str">
        <x:v>Л.30, PDF 31</x:v>
      </x:c>
      <x:c r="K80" s="26" t="str">
        <x:v>В РД; полная пространственная раскладка не смоделирована.</x:v>
      </x:c>
    </x:row>
    <x:row r="81" ht="46" customHeight="1">
      <x:c r="A81" s="22" t="str">
        <x:v>МУ 19</x:v>
      </x:c>
      <x:c r="B81" s="22" t="str">
        <x:v>1</x:v>
      </x:c>
      <x:c r="C81" s="22" t="str">
        <x:v>Уголок 75х5ГОСТ 8509-93 С245 ГОСТ 27772-2015 L=1750</x:v>
      </x:c>
      <x:c r="D81" s="22" t="str">
        <x:v>шт.</x:v>
      </x:c>
      <x:c r="E81" s="85" t="n">
        <x:v>2</x:v>
      </x:c>
      <x:c r="F81" s="86" t="n">
        <x:v>1</x:v>
      </x:c>
      <x:c r="G81" s="85" t="n">
        <x:f>E81*F81</x:f>
        <x:v>2</x:v>
      </x:c>
      <x:c r="H81" s="85" t="n">
        <x:v>10.15</x:v>
      </x:c>
      <x:c r="I81" s="85" t="n">
        <x:f>IF(H81="","",G81*H81)</x:f>
        <x:v>20.3</x:v>
      </x:c>
      <x:c r="J81" s="22" t="str">
        <x:v>Л.30, PDF 31</x:v>
      </x:c>
      <x:c r="K81" s="22" t="str">
        <x:v>Геометрия частичная; контроль по вкладке 07.</x:v>
      </x:c>
    </x:row>
    <x:row r="82" ht="46" customHeight="1">
      <x:c r="A82" s="26" t="str">
        <x:v>МУ 19</x:v>
      </x:c>
      <x:c r="B82" s="26" t="str">
        <x:v>2</x:v>
      </x:c>
      <x:c r="C82" s="26" t="str">
        <x:v>Уголок 75х5ГОСТ 8509-93 С245 ГОСТ 27772-2015 L= 1050</x:v>
      </x:c>
      <x:c r="D82" s="26" t="str">
        <x:v>шт.</x:v>
      </x:c>
      <x:c r="E82" s="83" t="n">
        <x:v>2</x:v>
      </x:c>
      <x:c r="F82" s="84" t="n">
        <x:v>1</x:v>
      </x:c>
      <x:c r="G82" s="83" t="n">
        <x:f>E82*F82</x:f>
        <x:v>2</x:v>
      </x:c>
      <x:c r="H82" s="83" t="n">
        <x:v>6.09</x:v>
      </x:c>
      <x:c r="I82" s="83" t="n">
        <x:f>IF(H82="","",G82*H82)</x:f>
        <x:v>12.18</x:v>
      </x:c>
      <x:c r="J82" s="26" t="str">
        <x:v>Л.30, PDF 31</x:v>
      </x:c>
      <x:c r="K82" s="26" t="str">
        <x:v>Геометрия частичная; контроль по вкладке 07.</x:v>
      </x:c>
    </x:row>
    <x:row r="83" ht="46" customHeight="1">
      <x:c r="A83" s="22" t="str">
        <x:v>МУ 19</x:v>
      </x:c>
      <x:c r="B83" s="22" t="str">
        <x:v>3</x:v>
      </x:c>
      <x:c r="C83" s="22" t="str">
        <x:v>Уголок 75х5ГОСТ 8509-93 С245 ГОСТ 27772-2015 L= 1525</x:v>
      </x:c>
      <x:c r="D83" s="22" t="str">
        <x:v>шт.</x:v>
      </x:c>
      <x:c r="E83" s="85" t="n">
        <x:v>2</x:v>
      </x:c>
      <x:c r="F83" s="86" t="n">
        <x:v>1</x:v>
      </x:c>
      <x:c r="G83" s="85" t="n">
        <x:f>E83*F83</x:f>
        <x:v>2</x:v>
      </x:c>
      <x:c r="H83" s="85" t="n">
        <x:v>8.85</x:v>
      </x:c>
      <x:c r="I83" s="85" t="n">
        <x:f>IF(H83="","",G83*H83)</x:f>
        <x:v>17.7</x:v>
      </x:c>
      <x:c r="J83" s="22" t="str">
        <x:v>Л.30, PDF 31</x:v>
      </x:c>
      <x:c r="K83" s="22" t="str">
        <x:v>Геометрия частичная; контроль по вкладке 07.</x:v>
      </x:c>
    </x:row>
    <x:row r="84" ht="46" customHeight="1">
      <x:c r="A84" s="26" t="str">
        <x:v>МУ 19</x:v>
      </x:c>
      <x:c r="B84" s="26" t="str"/>
      <x:c r="C84" s="26" t="str">
        <x:v>Бетон В 20</x:v>
      </x:c>
      <x:c r="D84" s="26" t="str">
        <x:v>м³</x:v>
      </x:c>
      <x:c r="E84" s="83" t="n">
        <x:v>1.75</x:v>
      </x:c>
      <x:c r="F84" s="84" t="n">
        <x:v>1</x:v>
      </x:c>
      <x:c r="G84" s="83" t="n">
        <x:f>E84*F84</x:f>
        <x:v>1.75</x:v>
      </x:c>
      <x:c r="H84" s="83"/>
      <x:c r="I84" s="83" t="str">
        <x:f>IF(H84="","",G84*H84)</x:f>
      </x:c>
      <x:c r="J84" s="26" t="str">
        <x:v>Л.30, PDF 31</x:v>
      </x:c>
      <x:c r="K84" s="26" t="str">
        <x:v>Исходная строка РД; не масса смонтированной конструкции.</x:v>
      </x:c>
    </x:row>
    <x:row r="85" ht="46" customHeight="1">
      <x:c r="A85" s="22" t="str">
        <x:v>МУ 19</x:v>
      </x:c>
      <x:c r="B85" s="22" t="str"/>
      <x:c r="C85" s="22" t="str">
        <x:v>Профлист Н 75-750-0,8</x:v>
      </x:c>
      <x:c r="D85" s="22" t="str">
        <x:v>м²</x:v>
      </x:c>
      <x:c r="E85" s="85" t="n">
        <x:v>9.29</x:v>
      </x:c>
      <x:c r="F85" s="86" t="n">
        <x:v>1</x:v>
      </x:c>
      <x:c r="G85" s="85" t="n">
        <x:f>E85*F85</x:f>
        <x:v>9.29</x:v>
      </x:c>
      <x:c r="H85" s="85"/>
      <x:c r="I85" s="85" t="str">
        <x:f>IF(H85="","",G85*H85)</x:f>
      </x:c>
      <x:c r="J85" s="22" t="str">
        <x:v>Л.30, PDF 31</x:v>
      </x:c>
      <x:c r="K85" s="22" t="str">
        <x:v>Исходная строка РД; не масса смонтированной конструкции.</x:v>
      </x:c>
    </x:row>
    <x:row r="86" ht="46" customHeight="1">
      <x:c r="A86" s="26" t="str">
        <x:v>МУ 24</x:v>
      </x:c>
      <x:c r="B86" s="26" t="str">
        <x:v>Б 1</x:v>
      </x:c>
      <x:c r="C86" s="26" t="str">
        <x:v>Балка металлическая Б 1</x:v>
      </x:c>
      <x:c r="D86" s="26" t="str">
        <x:v>шт.</x:v>
      </x:c>
      <x:c r="E86" s="83" t="n">
        <x:v>2</x:v>
      </x:c>
      <x:c r="F86" s="84" t="n">
        <x:v>1</x:v>
      </x:c>
      <x:c r="G86" s="83" t="n">
        <x:f>E86*F86</x:f>
        <x:v>2</x:v>
      </x:c>
      <x:c r="H86" s="83"/>
      <x:c r="I86" s="83" t="str">
        <x:f>IF(H86="","",G86*H86)</x:f>
      </x:c>
      <x:c r="J86" s="26" t="str">
        <x:v>Л.32, PDF 33</x:v>
      </x:c>
      <x:c r="K86" s="26" t="str">
        <x:v>Сборка Б1. Состав/масса только на вкладке 04; здесь массу не суммировать.</x:v>
      </x:c>
    </x:row>
    <x:row r="87" ht="46" customHeight="1">
      <x:c r="A87" s="22" t="str">
        <x:v>МУ 24</x:v>
      </x:c>
      <x:c r="B87" s="22" t="str">
        <x:v>6</x:v>
      </x:c>
      <x:c r="C87" s="22" t="str">
        <x:v>12- А 500 С , L =5740</x:v>
      </x:c>
      <x:c r="D87" s="22" t="str">
        <x:v>шт.</x:v>
      </x:c>
      <x:c r="E87" s="85" t="n">
        <x:v>10</x:v>
      </x:c>
      <x:c r="F87" s="86" t="n">
        <x:v>1</x:v>
      </x:c>
      <x:c r="G87" s="85" t="n">
        <x:f>E87*F87</x:f>
        <x:v>10</x:v>
      </x:c>
      <x:c r="H87" s="85" t="n">
        <x:v>5.1</x:v>
      </x:c>
      <x:c r="I87" s="85" t="n">
        <x:f>IF(H87="","",G87*H87)</x:f>
        <x:v>51</x:v>
      </x:c>
      <x:c r="J87" s="22" t="str">
        <x:v>Л.32, PDF 33</x:v>
      </x:c>
      <x:c r="K87" s="22" t="str">
        <x:v>Исходная строка РД; не масса смонтированной конструкции.</x:v>
      </x:c>
    </x:row>
    <x:row r="88" ht="46" customHeight="1">
      <x:c r="A88" s="26" t="str">
        <x:v>МУ 24</x:v>
      </x:c>
      <x:c r="B88" s="26" t="str">
        <x:v>КР 1</x:v>
      </x:c>
      <x:c r="C88" s="26" t="str">
        <x:v>Каркас КР 1</x:v>
      </x:c>
      <x:c r="D88" s="26" t="str">
        <x:v>шт.</x:v>
      </x:c>
      <x:c r="E88" s="83" t="n">
        <x:v>31</x:v>
      </x:c>
      <x:c r="F88" s="84" t="n">
        <x:v>1</x:v>
      </x:c>
      <x:c r="G88" s="83" t="n">
        <x:f>E88*F88</x:f>
        <x:v>31</x:v>
      </x:c>
      <x:c r="H88" s="83"/>
      <x:c r="I88" s="83" t="str">
        <x:f>IF(H88="","",G88*H88)</x:f>
      </x:c>
      <x:c r="J88" s="26" t="str">
        <x:v>Л.32, PDF 33</x:v>
      </x:c>
      <x:c r="K88" s="26" t="str">
        <x:v>В РД; полная пространственная раскладка не смоделирована.</x:v>
      </x:c>
    </x:row>
    <x:row r="89" ht="46" customHeight="1">
      <x:c r="A89" s="22" t="str">
        <x:v>МУ 24</x:v>
      </x:c>
      <x:c r="B89" s="22" t="str">
        <x:v>4</x:v>
      </x:c>
      <x:c r="C89" s="22" t="str">
        <x:v>Уголок 75х5ГОСТ 8509-93 С245 ГОСТ 27772-2015 L=1750</x:v>
      </x:c>
      <x:c r="D89" s="22" t="str">
        <x:v>шт.</x:v>
      </x:c>
      <x:c r="E89" s="85" t="n">
        <x:v>1</x:v>
      </x:c>
      <x:c r="F89" s="86" t="n">
        <x:v>1</x:v>
      </x:c>
      <x:c r="G89" s="85" t="n">
        <x:f>E89*F89</x:f>
        <x:v>1</x:v>
      </x:c>
      <x:c r="H89" s="85" t="n">
        <x:v>10.15</x:v>
      </x:c>
      <x:c r="I89" s="85" t="n">
        <x:f>IF(H89="","",G89*H89)</x:f>
        <x:v>10.15</x:v>
      </x:c>
      <x:c r="J89" s="22" t="str">
        <x:v>Л.32, PDF 33</x:v>
      </x:c>
      <x:c r="K89" s="22" t="str">
        <x:v>Геометрия частичная; контроль по вкладке 07.</x:v>
      </x:c>
    </x:row>
    <x:row r="90" ht="46" customHeight="1">
      <x:c r="A90" s="26" t="str">
        <x:v>МУ 24</x:v>
      </x:c>
      <x:c r="B90" s="26" t="str">
        <x:v>5</x:v>
      </x:c>
      <x:c r="C90" s="26" t="str">
        <x:v>Уголок 75х5ГОСТ 8509-93 С245 ГОСТ 27772-2015 L= 1950</x:v>
      </x:c>
      <x:c r="D90" s="26" t="str">
        <x:v>шт.</x:v>
      </x:c>
      <x:c r="E90" s="83" t="n">
        <x:v>2</x:v>
      </x:c>
      <x:c r="F90" s="84" t="n">
        <x:v>1</x:v>
      </x:c>
      <x:c r="G90" s="83" t="n">
        <x:f>E90*F90</x:f>
        <x:v>2</x:v>
      </x:c>
      <x:c r="H90" s="83" t="n">
        <x:v>11.31</x:v>
      </x:c>
      <x:c r="I90" s="83" t="n">
        <x:f>IF(H90="","",G90*H90)</x:f>
        <x:v>22.62</x:v>
      </x:c>
      <x:c r="J90" s="26" t="str">
        <x:v>Л.32, PDF 33</x:v>
      </x:c>
      <x:c r="K90" s="26" t="str">
        <x:v>Геометрия частичная; контроль по вкладке 07.</x:v>
      </x:c>
    </x:row>
    <x:row r="91" ht="46" customHeight="1">
      <x:c r="A91" s="22" t="str">
        <x:v>МУ 24</x:v>
      </x:c>
      <x:c r="B91" s="22" t="str"/>
      <x:c r="C91" s="22" t="str">
        <x:v>Бетон В 20</x:v>
      </x:c>
      <x:c r="D91" s="22" t="str">
        <x:v>м³</x:v>
      </x:c>
      <x:c r="E91" s="85" t="n">
        <x:v>1.75</x:v>
      </x:c>
      <x:c r="F91" s="86" t="n">
        <x:v>1</x:v>
      </x:c>
      <x:c r="G91" s="85" t="n">
        <x:f>E91*F91</x:f>
        <x:v>1.75</x:v>
      </x:c>
      <x:c r="H91" s="85"/>
      <x:c r="I91" s="85" t="str">
        <x:f>IF(H91="","",G91*H91)</x:f>
      </x:c>
      <x:c r="J91" s="22" t="str">
        <x:v>Л.32, PDF 33</x:v>
      </x:c>
      <x:c r="K91" s="22" t="str">
        <x:v>Исходная строка РД; не масса смонтированной конструкции.</x:v>
      </x:c>
    </x:row>
    <x:row r="92" ht="46" customHeight="1">
      <x:c r="A92" s="26" t="str">
        <x:v>МУ 24</x:v>
      </x:c>
      <x:c r="B92" s="26" t="str"/>
      <x:c r="C92" s="26" t="str">
        <x:v>Профлист Н 75-750-0,8</x:v>
      </x:c>
      <x:c r="D92" s="26" t="str">
        <x:v>м²</x:v>
      </x:c>
      <x:c r="E92" s="83" t="n">
        <x:v>9</x:v>
      </x:c>
      <x:c r="F92" s="84" t="n">
        <x:v>1</x:v>
      </x:c>
      <x:c r="G92" s="83" t="n">
        <x:f>E92*F92</x:f>
        <x:v>9</x:v>
      </x:c>
      <x:c r="H92" s="83"/>
      <x:c r="I92" s="83" t="str">
        <x:f>IF(H92="","",G92*H92)</x:f>
      </x:c>
      <x:c r="J92" s="26" t="str">
        <x:v>Л.32, PDF 33</x:v>
      </x:c>
      <x:c r="K92" s="26" t="str">
        <x:v>Исходная строка РД; не масса смонтированной конструкции.</x:v>
      </x:c>
    </x:row>
    <x:row r="93" ht="46" customHeight="1">
      <x:c r="A93" s="22" t="str">
        <x:v>МУ 25</x:v>
      </x:c>
      <x:c r="B93" s="22" t="str">
        <x:v>Б 1</x:v>
      </x:c>
      <x:c r="C93" s="22" t="str">
        <x:v>Балка металлическая Б 1</x:v>
      </x:c>
      <x:c r="D93" s="22" t="str">
        <x:v>шт.</x:v>
      </x:c>
      <x:c r="E93" s="85" t="n">
        <x:v>2</x:v>
      </x:c>
      <x:c r="F93" s="86" t="n">
        <x:v>1</x:v>
      </x:c>
      <x:c r="G93" s="85" t="n">
        <x:f>E93*F93</x:f>
        <x:v>2</x:v>
      </x:c>
      <x:c r="H93" s="85"/>
      <x:c r="I93" s="85" t="str">
        <x:f>IF(H93="","",G93*H93)</x:f>
      </x:c>
      <x:c r="J93" s="22" t="str">
        <x:v>Л.33, PDF 34</x:v>
      </x:c>
      <x:c r="K93" s="22" t="str">
        <x:v>Сборка Б1. Состав/масса только на вкладке 04; здесь массу не суммировать.</x:v>
      </x:c>
    </x:row>
    <x:row r="94" ht="46" customHeight="1">
      <x:c r="A94" s="26" t="str">
        <x:v>МУ 25</x:v>
      </x:c>
      <x:c r="B94" s="26" t="str">
        <x:v>КР 1</x:v>
      </x:c>
      <x:c r="C94" s="26" t="str">
        <x:v>Каркас КР 1</x:v>
      </x:c>
      <x:c r="D94" s="26" t="str">
        <x:v>шт.</x:v>
      </x:c>
      <x:c r="E94" s="83" t="n">
        <x:v>31</x:v>
      </x:c>
      <x:c r="F94" s="84" t="n">
        <x:v>1</x:v>
      </x:c>
      <x:c r="G94" s="83" t="n">
        <x:f>E94*F94</x:f>
        <x:v>31</x:v>
      </x:c>
      <x:c r="H94" s="83"/>
      <x:c r="I94" s="83" t="str">
        <x:f>IF(H94="","",G94*H94)</x:f>
      </x:c>
      <x:c r="J94" s="26" t="str">
        <x:v>Л.33, PDF 34</x:v>
      </x:c>
      <x:c r="K94" s="26" t="str">
        <x:v>В РД; полная пространственная раскладка не смоделирована.</x:v>
      </x:c>
    </x:row>
    <x:row r="95" ht="46" customHeight="1">
      <x:c r="A95" s="22" t="str">
        <x:v>МУ 25</x:v>
      </x:c>
      <x:c r="B95" s="22" t="str">
        <x:v>1</x:v>
      </x:c>
      <x:c r="C95" s="22" t="str">
        <x:v>12- А 500 С , L =5740</x:v>
      </x:c>
      <x:c r="D95" s="22" t="str">
        <x:v>шт.</x:v>
      </x:c>
      <x:c r="E95" s="85" t="n">
        <x:v>10</x:v>
      </x:c>
      <x:c r="F95" s="86" t="n">
        <x:v>1</x:v>
      </x:c>
      <x:c r="G95" s="85" t="n">
        <x:f>E95*F95</x:f>
        <x:v>10</x:v>
      </x:c>
      <x:c r="H95" s="85" t="n">
        <x:v>5.1</x:v>
      </x:c>
      <x:c r="I95" s="85" t="n">
        <x:f>IF(H95="","",G95*H95)</x:f>
        <x:v>51</x:v>
      </x:c>
      <x:c r="J95" s="22" t="str">
        <x:v>Л.33, PDF 34</x:v>
      </x:c>
      <x:c r="K95" s="22" t="str">
        <x:v>Исходная строка РД; не масса смонтированной конструкции.</x:v>
      </x:c>
    </x:row>
    <x:row r="96" ht="46" customHeight="1">
      <x:c r="A96" s="26" t="str">
        <x:v>МУ 25</x:v>
      </x:c>
      <x:c r="B96" s="26" t="str">
        <x:v>2</x:v>
      </x:c>
      <x:c r="C96" s="26" t="str">
        <x:v>Уголок 75х5ГОСТ 8509-93 С245 ГОСТ 27772-2015 L=1750</x:v>
      </x:c>
      <x:c r="D96" s="26" t="str">
        <x:v>шт.</x:v>
      </x:c>
      <x:c r="E96" s="83" t="n">
        <x:v>5</x:v>
      </x:c>
      <x:c r="F96" s="84" t="n">
        <x:v>1</x:v>
      </x:c>
      <x:c r="G96" s="83" t="n">
        <x:f>E96*F96</x:f>
        <x:v>5</x:v>
      </x:c>
      <x:c r="H96" s="83" t="n">
        <x:v>10.15</x:v>
      </x:c>
      <x:c r="I96" s="83" t="n">
        <x:f>IF(H96="","",G96*H96)</x:f>
        <x:v>50.75</x:v>
      </x:c>
      <x:c r="J96" s="26" t="str">
        <x:v>Л.33, PDF 34</x:v>
      </x:c>
      <x:c r="K96" s="26" t="str">
        <x:v>Геометрия частичная; контроль по вкладке 07.</x:v>
      </x:c>
    </x:row>
    <x:row r="97" ht="46" customHeight="1">
      <x:c r="A97" s="22" t="str">
        <x:v>МУ 25</x:v>
      </x:c>
      <x:c r="B97" s="22" t="str">
        <x:v>3</x:v>
      </x:c>
      <x:c r="C97" s="22" t="str">
        <x:v>Уголок 75х5ГОСТ 8509-93 С245 ГОСТ 27772-2015 L=1200</x:v>
      </x:c>
      <x:c r="D97" s="22" t="str">
        <x:v>шт.</x:v>
      </x:c>
      <x:c r="E97" s="85" t="n">
        <x:v>2</x:v>
      </x:c>
      <x:c r="F97" s="86" t="n">
        <x:v>1</x:v>
      </x:c>
      <x:c r="G97" s="85" t="n">
        <x:f>E97*F97</x:f>
        <x:v>2</x:v>
      </x:c>
      <x:c r="H97" s="85" t="n">
        <x:v>6.96</x:v>
      </x:c>
      <x:c r="I97" s="85" t="n">
        <x:f>IF(H97="","",G97*H97)</x:f>
        <x:v>13.92</x:v>
      </x:c>
      <x:c r="J97" s="22" t="str">
        <x:v>Л.33, PDF 34</x:v>
      </x:c>
      <x:c r="K97" s="22" t="str">
        <x:v>Геометрия частичная; контроль по вкладке 07.</x:v>
      </x:c>
    </x:row>
    <x:row r="98" ht="46" customHeight="1">
      <x:c r="A98" s="26" t="str">
        <x:v>МУ 25</x:v>
      </x:c>
      <x:c r="B98" s="26" t="str">
        <x:v>4</x:v>
      </x:c>
      <x:c r="C98" s="26" t="str">
        <x:v>Уголок 75х5ГОСТ 8509-93 С245 ГОСТ 27772-2015 L= 500</x:v>
      </x:c>
      <x:c r="D98" s="26" t="str">
        <x:v>шт.</x:v>
      </x:c>
      <x:c r="E98" s="83" t="n">
        <x:v>2</x:v>
      </x:c>
      <x:c r="F98" s="84" t="n">
        <x:v>1</x:v>
      </x:c>
      <x:c r="G98" s="83" t="n">
        <x:f>E98*F98</x:f>
        <x:v>2</x:v>
      </x:c>
      <x:c r="H98" s="83" t="n">
        <x:v>2.9</x:v>
      </x:c>
      <x:c r="I98" s="83" t="n">
        <x:f>IF(H98="","",G98*H98)</x:f>
        <x:v>5.8</x:v>
      </x:c>
      <x:c r="J98" s="26" t="str">
        <x:v>Л.33, PDF 34</x:v>
      </x:c>
      <x:c r="K98" s="26" t="str">
        <x:v>Геометрия частичная; контроль по вкладке 07.</x:v>
      </x:c>
    </x:row>
    <x:row r="99" ht="46" customHeight="1">
      <x:c r="A99" s="22" t="str">
        <x:v>МУ 25</x:v>
      </x:c>
      <x:c r="B99" s="22" t="str">
        <x:v>5</x:v>
      </x:c>
      <x:c r="C99" s="22" t="str">
        <x:v>Уголок 75х5ГОСТ 8509-93 С245 ГОСТ 27772-2015 L=300</x:v>
      </x:c>
      <x:c r="D99" s="22" t="str">
        <x:v>шт.</x:v>
      </x:c>
      <x:c r="E99" s="85" t="n">
        <x:v>2</x:v>
      </x:c>
      <x:c r="F99" s="86" t="n">
        <x:v>1</x:v>
      </x:c>
      <x:c r="G99" s="85" t="n">
        <x:f>E99*F99</x:f>
        <x:v>2</x:v>
      </x:c>
      <x:c r="H99" s="85" t="n">
        <x:v>1.74</x:v>
      </x:c>
      <x:c r="I99" s="85" t="n">
        <x:f>IF(H99="","",G99*H99)</x:f>
        <x:v>3.48</x:v>
      </x:c>
      <x:c r="J99" s="22" t="str">
        <x:v>Л.33, PDF 34</x:v>
      </x:c>
      <x:c r="K99" s="22" t="str">
        <x:v>Геометрия частичная; контроль по вкладке 07.</x:v>
      </x:c>
    </x:row>
    <x:row r="100" ht="46" customHeight="1">
      <x:c r="A100" s="26" t="str">
        <x:v>МУ 25</x:v>
      </x:c>
      <x:c r="B100" s="26" t="str"/>
      <x:c r="C100" s="26" t="str">
        <x:v>Бетон В 20</x:v>
      </x:c>
      <x:c r="D100" s="26" t="str">
        <x:v>м³</x:v>
      </x:c>
      <x:c r="E100" s="83" t="n">
        <x:v>1.75</x:v>
      </x:c>
      <x:c r="F100" s="84" t="n">
        <x:v>1</x:v>
      </x:c>
      <x:c r="G100" s="83" t="n">
        <x:f>E100*F100</x:f>
        <x:v>1.75</x:v>
      </x:c>
      <x:c r="H100" s="83"/>
      <x:c r="I100" s="83" t="str">
        <x:f>IF(H100="","",G100*H100)</x:f>
      </x:c>
      <x:c r="J100" s="26" t="str">
        <x:v>Л.33, PDF 34</x:v>
      </x:c>
      <x:c r="K100" s="26" t="str">
        <x:v>Исходная строка РД; не масса смонтированной конструкции.</x:v>
      </x:c>
    </x:row>
    <x:row r="101" ht="46" customHeight="1">
      <x:c r="A101" s="22" t="str">
        <x:v>МУ 25</x:v>
      </x:c>
      <x:c r="B101" s="22" t="str"/>
      <x:c r="C101" s="22" t="str">
        <x:v>Профлист Н 75-750-0,8</x:v>
      </x:c>
      <x:c r="D101" s="22" t="str">
        <x:v>м²</x:v>
      </x:c>
      <x:c r="E101" s="85" t="n">
        <x:v>8.92</x:v>
      </x:c>
      <x:c r="F101" s="86" t="n">
        <x:v>1</x:v>
      </x:c>
      <x:c r="G101" s="85" t="n">
        <x:f>E101*F101</x:f>
        <x:v>8.92</x:v>
      </x:c>
      <x:c r="H101" s="85"/>
      <x:c r="I101" s="85" t="str">
        <x:f>IF(H101="","",G101*H101)</x:f>
      </x:c>
      <x:c r="J101" s="22" t="str">
        <x:v>Л.33, PDF 34</x:v>
      </x:c>
      <x:c r="K101" s="22" t="str">
        <x:v>Исходная строка РД; не масса смонтированной конструкции.</x:v>
      </x:c>
    </x:row>
    <x:row r="102" ht="46" customHeight="1">
      <x:c r="A102" s="26" t="str">
        <x:v>МУ 26</x:v>
      </x:c>
      <x:c r="B102" s="26" t="str">
        <x:v>1</x:v>
      </x:c>
      <x:c r="C102" s="26" t="str">
        <x:v>16 - А 500 С , м.п</x:v>
      </x:c>
      <x:c r="D102" s="26" t="str">
        <x:v>п.м</x:v>
      </x:c>
      <x:c r="E102" s="83" t="n">
        <x:v>27.5</x:v>
      </x:c>
      <x:c r="F102" s="84" t="n">
        <x:v>1</x:v>
      </x:c>
      <x:c r="G102" s="83" t="n">
        <x:f>E102*F102</x:f>
        <x:v>27.5</x:v>
      </x:c>
      <x:c r="H102" s="83" t="n">
        <x:v>1.578</x:v>
      </x:c>
      <x:c r="I102" s="83" t="n">
        <x:f>IF(H102="","",G102*H102)</x:f>
        <x:v>43.395</x:v>
      </x:c>
      <x:c r="J102" s="26" t="str">
        <x:v>Л.26, PDF 27</x:v>
      </x:c>
      <x:c r="K102" s="26" t="str">
        <x:v>Исходная строка РД; не масса смонтированной конструкции.</x:v>
      </x:c>
    </x:row>
    <x:row r="103" ht="46" customHeight="1">
      <x:c r="A103" s="22" t="str">
        <x:v>МУ 26</x:v>
      </x:c>
      <x:c r="B103" s="22" t="str">
        <x:v>2</x:v>
      </x:c>
      <x:c r="C103" s="22" t="str">
        <x:v>12 - А 500 С , L = 1050</x:v>
      </x:c>
      <x:c r="D103" s="22" t="str">
        <x:v>шт.</x:v>
      </x:c>
      <x:c r="E103" s="85" t="n">
        <x:v>30</x:v>
      </x:c>
      <x:c r="F103" s="86" t="n">
        <x:v>1</x:v>
      </x:c>
      <x:c r="G103" s="85" t="n">
        <x:f>E103*F103</x:f>
        <x:v>30</x:v>
      </x:c>
      <x:c r="H103" s="85" t="n">
        <x:v>0.932</x:v>
      </x:c>
      <x:c r="I103" s="85" t="n">
        <x:f>IF(H103="","",G103*H103)</x:f>
        <x:v>27.96</x:v>
      </x:c>
      <x:c r="J103" s="22" t="str">
        <x:v>Л.26, PDF 27</x:v>
      </x:c>
      <x:c r="K103" s="22" t="str">
        <x:v>Исходная строка РД; не масса смонтированной конструкции.</x:v>
      </x:c>
    </x:row>
    <x:row r="104" ht="46" customHeight="1">
      <x:c r="A104" s="26" t="str">
        <x:v>МУ 26</x:v>
      </x:c>
      <x:c r="B104" s="26" t="str">
        <x:v>П 1</x:v>
      </x:c>
      <x:c r="C104" s="26" t="str">
        <x:v>12- А 500 С , L =1315</x:v>
      </x:c>
      <x:c r="D104" s="26" t="str">
        <x:v>шт.</x:v>
      </x:c>
      <x:c r="E104" s="83" t="n">
        <x:v>10</x:v>
      </x:c>
      <x:c r="F104" s="84" t="n">
        <x:v>1</x:v>
      </x:c>
      <x:c r="G104" s="83" t="n">
        <x:f>E104*F104</x:f>
        <x:v>10</x:v>
      </x:c>
      <x:c r="H104" s="83" t="n">
        <x:v>1.17</x:v>
      </x:c>
      <x:c r="I104" s="83" t="n">
        <x:f>IF(H104="","",G104*H104)</x:f>
        <x:v>11.7</x:v>
      </x:c>
      <x:c r="J104" s="26" t="str">
        <x:v>Л.26, PDF 27</x:v>
      </x:c>
      <x:c r="K104" s="26" t="str">
        <x:v>Исходная строка РД; не масса смонтированной конструкции.</x:v>
      </x:c>
    </x:row>
    <x:row r="105" ht="46" customHeight="1">
      <x:c r="A105" s="22" t="str">
        <x:v>МУ 26</x:v>
      </x:c>
      <x:c r="B105" s="22" t="str">
        <x:v>Ф 1</x:v>
      </x:c>
      <x:c r="C105" s="22" t="str">
        <x:v>10- А 500 С , L =1030</x:v>
      </x:c>
      <x:c r="D105" s="22" t="str">
        <x:v>шт.</x:v>
      </x:c>
      <x:c r="E105" s="85" t="n">
        <x:v>3</x:v>
      </x:c>
      <x:c r="F105" s="86" t="n">
        <x:v>1</x:v>
      </x:c>
      <x:c r="G105" s="85" t="n">
        <x:f>E105*F105</x:f>
        <x:v>3</x:v>
      </x:c>
      <x:c r="H105" s="85" t="n">
        <x:v>0.64</x:v>
      </x:c>
      <x:c r="I105" s="85" t="n">
        <x:f>IF(H105="","",G105*H105)</x:f>
        <x:v>1.92</x:v>
      </x:c>
      <x:c r="J105" s="22" t="str">
        <x:v>Л.26, PDF 27</x:v>
      </x:c>
      <x:c r="K105" s="22" t="str">
        <x:v>Исходная строка РД; не масса смонтированной конструкции.</x:v>
      </x:c>
    </x:row>
    <x:row r="106" ht="46" customHeight="1">
      <x:c r="A106" s="26" t="str">
        <x:v>МУ 26</x:v>
      </x:c>
      <x:c r="B106" s="26" t="str"/>
      <x:c r="C106" s="26" t="str">
        <x:v>Бетон В 20</x:v>
      </x:c>
      <x:c r="D106" s="26" t="str">
        <x:v>м³</x:v>
      </x:c>
      <x:c r="E106" s="83" t="n">
        <x:v>0.31</x:v>
      </x:c>
      <x:c r="F106" s="84" t="n">
        <x:v>1</x:v>
      </x:c>
      <x:c r="G106" s="83" t="n">
        <x:f>E106*F106</x:f>
        <x:v>0.31</x:v>
      </x:c>
      <x:c r="H106" s="83"/>
      <x:c r="I106" s="83" t="str">
        <x:f>IF(H106="","",G106*H106)</x:f>
      </x:c>
      <x:c r="J106" s="26" t="str">
        <x:v>Л.26, PDF 27</x:v>
      </x:c>
      <x:c r="K106" s="26" t="str">
        <x:v>Исходная строка РД; не масса смонтированной конструкции.</x:v>
      </x:c>
    </x:row>
    <x:row r="107" ht="46" customHeight="1">
      <x:c r="A107" s="22" t="str">
        <x:v>МУ 27</x:v>
      </x:c>
      <x:c r="B107" s="22" t="str">
        <x:v>КР 3</x:v>
      </x:c>
      <x:c r="C107" s="22" t="str">
        <x:v>Каркас КР 3</x:v>
      </x:c>
      <x:c r="D107" s="22" t="str">
        <x:v>шт.</x:v>
      </x:c>
      <x:c r="E107" s="85" t="n">
        <x:v>3</x:v>
      </x:c>
      <x:c r="F107" s="86" t="n">
        <x:v>1</x:v>
      </x:c>
      <x:c r="G107" s="85" t="n">
        <x:f>E107*F107</x:f>
        <x:v>3</x:v>
      </x:c>
      <x:c r="H107" s="85"/>
      <x:c r="I107" s="85" t="str">
        <x:f>IF(H107="","",G107*H107)</x:f>
      </x:c>
      <x:c r="J107" s="22" t="str">
        <x:v>Л.33, PDF 34</x:v>
      </x:c>
      <x:c r="K107" s="22" t="str">
        <x:v>В РД; полная пространственная раскладка не смоделирована.</x:v>
      </x:c>
    </x:row>
    <x:row r="108" ht="46" customHeight="1">
      <x:c r="A108" s="26" t="str">
        <x:v>МУ 27</x:v>
      </x:c>
      <x:c r="B108" s="26" t="str">
        <x:v>6</x:v>
      </x:c>
      <x:c r="C108" s="26" t="str">
        <x:v>16- А 500 С , L =290</x:v>
      </x:c>
      <x:c r="D108" s="26" t="str">
        <x:v>шт.</x:v>
      </x:c>
      <x:c r="E108" s="83" t="n">
        <x:v>24</x:v>
      </x:c>
      <x:c r="F108" s="84" t="n">
        <x:v>1</x:v>
      </x:c>
      <x:c r="G108" s="83" t="n">
        <x:f>E108*F108</x:f>
        <x:v>24</x:v>
      </x:c>
      <x:c r="H108" s="83" t="n">
        <x:v>3.5</x:v>
      </x:c>
      <x:c r="I108" s="83" t="n">
        <x:f>IF(H108="","",G108*H108)</x:f>
        <x:v>84</x:v>
      </x:c>
      <x:c r="J108" s="26" t="str">
        <x:v>Л.33, PDF 34</x:v>
      </x:c>
      <x:c r="K108" s="26" t="str">
        <x:v>РАСХОЖДЕНИЕ: L290 / масса3,5кг. Сохранено по РД.</x:v>
      </x:c>
    </x:row>
    <x:row r="109" ht="46" customHeight="1">
      <x:c r="A109" s="22" t="str">
        <x:v>МУ 27</x:v>
      </x:c>
      <x:c r="B109" s="22" t="str"/>
      <x:c r="C109" s="22" t="str">
        <x:v>Бетон В 20</x:v>
      </x:c>
      <x:c r="D109" s="22" t="str">
        <x:v>м³</x:v>
      </x:c>
      <x:c r="E109" s="85" t="n">
        <x:v>0.17</x:v>
      </x:c>
      <x:c r="F109" s="86" t="n">
        <x:v>1</x:v>
      </x:c>
      <x:c r="G109" s="85" t="n">
        <x:f>E109*F109</x:f>
        <x:v>0.17</x:v>
      </x:c>
      <x:c r="H109" s="85"/>
      <x:c r="I109" s="85" t="str">
        <x:f>IF(H109="","",G109*H109)</x:f>
      </x:c>
      <x:c r="J109" s="22" t="str">
        <x:v>Л.33, PDF 34</x:v>
      </x:c>
      <x:c r="K109" s="22" t="str">
        <x:v>Исходная строка РД; не масса смонтированной конструкции.</x:v>
      </x:c>
    </x:row>
    <x:row r="110" ht="46" customHeight="1">
      <x:c r="A110" s="26" t="str">
        <x:v>МУ 28</x:v>
      </x:c>
      <x:c r="B110" s="26" t="str">
        <x:v>Б 1</x:v>
      </x:c>
      <x:c r="C110" s="26" t="str">
        <x:v>Балка металлическая Б 1</x:v>
      </x:c>
      <x:c r="D110" s="26" t="str">
        <x:v>шт.</x:v>
      </x:c>
      <x:c r="E110" s="83" t="n">
        <x:v>2</x:v>
      </x:c>
      <x:c r="F110" s="84" t="n">
        <x:v>1</x:v>
      </x:c>
      <x:c r="G110" s="83" t="n">
        <x:f>E110*F110</x:f>
        <x:v>2</x:v>
      </x:c>
      <x:c r="H110" s="83"/>
      <x:c r="I110" s="83" t="str">
        <x:f>IF(H110="","",G110*H110)</x:f>
      </x:c>
      <x:c r="J110" s="26" t="str">
        <x:v>Л.34, PDF 35</x:v>
      </x:c>
      <x:c r="K110" s="26" t="str">
        <x:v>Сборка Б1. Состав/масса только на вкладке 04; здесь массу не суммировать.</x:v>
      </x:c>
    </x:row>
    <x:row r="111" ht="46" customHeight="1">
      <x:c r="A111" s="22" t="str">
        <x:v>МУ 28</x:v>
      </x:c>
      <x:c r="B111" s="22" t="str">
        <x:v>КР 1</x:v>
      </x:c>
      <x:c r="C111" s="22" t="str">
        <x:v>Каркас КР 1</x:v>
      </x:c>
      <x:c r="D111" s="22" t="str">
        <x:v>шт.</x:v>
      </x:c>
      <x:c r="E111" s="85" t="n">
        <x:v>31</x:v>
      </x:c>
      <x:c r="F111" s="86" t="n">
        <x:v>1</x:v>
      </x:c>
      <x:c r="G111" s="85" t="n">
        <x:f>E111*F111</x:f>
        <x:v>31</x:v>
      </x:c>
      <x:c r="H111" s="85"/>
      <x:c r="I111" s="85" t="str">
        <x:f>IF(H111="","",G111*H111)</x:f>
      </x:c>
      <x:c r="J111" s="22" t="str">
        <x:v>Л.34, PDF 35</x:v>
      </x:c>
      <x:c r="K111" s="22" t="str">
        <x:v>В РД; полная пространственная раскладка не смоделирована.</x:v>
      </x:c>
    </x:row>
    <x:row r="112" ht="46" customHeight="1">
      <x:c r="A112" s="26" t="str">
        <x:v>МУ 28</x:v>
      </x:c>
      <x:c r="B112" s="26" t="str">
        <x:v>1</x:v>
      </x:c>
      <x:c r="C112" s="26" t="str">
        <x:v>12- А 500 С , L =5740</x:v>
      </x:c>
      <x:c r="D112" s="26" t="str">
        <x:v>шт.</x:v>
      </x:c>
      <x:c r="E112" s="83" t="n">
        <x:v>10</x:v>
      </x:c>
      <x:c r="F112" s="84" t="n">
        <x:v>1</x:v>
      </x:c>
      <x:c r="G112" s="83" t="n">
        <x:f>E112*F112</x:f>
        <x:v>10</x:v>
      </x:c>
      <x:c r="H112" s="83" t="n">
        <x:v>5.1</x:v>
      </x:c>
      <x:c r="I112" s="83" t="n">
        <x:f>IF(H112="","",G112*H112)</x:f>
        <x:v>51</x:v>
      </x:c>
      <x:c r="J112" s="26" t="str">
        <x:v>Л.34, PDF 35</x:v>
      </x:c>
      <x:c r="K112" s="26" t="str">
        <x:v>Исходная строка РД; не масса смонтированной конструкции.</x:v>
      </x:c>
    </x:row>
    <x:row r="113" ht="46" customHeight="1">
      <x:c r="A113" s="22" t="str">
        <x:v>МУ 28</x:v>
      </x:c>
      <x:c r="B113" s="22" t="str">
        <x:v>2</x:v>
      </x:c>
      <x:c r="C113" s="22" t="str">
        <x:v>Уголок 75х5ГОСТ 8509-93 С245 ГОСТ 27772-2015 L=1750</x:v>
      </x:c>
      <x:c r="D113" s="22" t="str">
        <x:v>шт.</x:v>
      </x:c>
      <x:c r="E113" s="85" t="n">
        <x:v>4</x:v>
      </x:c>
      <x:c r="F113" s="86" t="n">
        <x:v>1</x:v>
      </x:c>
      <x:c r="G113" s="85" t="n">
        <x:f>E113*F113</x:f>
        <x:v>4</x:v>
      </x:c>
      <x:c r="H113" s="85" t="n">
        <x:v>10.15</x:v>
      </x:c>
      <x:c r="I113" s="85" t="n">
        <x:f>IF(H113="","",G113*H113)</x:f>
        <x:v>40.6</x:v>
      </x:c>
      <x:c r="J113" s="22" t="str">
        <x:v>Л.34, PDF 35</x:v>
      </x:c>
      <x:c r="K113" s="22" t="str">
        <x:v>Геометрия частичная; контроль по вкладке 07.</x:v>
      </x:c>
    </x:row>
    <x:row r="114" ht="46" customHeight="1">
      <x:c r="A114" s="26" t="str">
        <x:v>МУ 28</x:v>
      </x:c>
      <x:c r="B114" s="26" t="str">
        <x:v>3</x:v>
      </x:c>
      <x:c r="C114" s="26" t="str">
        <x:v>Уголок 75х5ГОСТ 8509-93 С245 ГОСТ 27772-2015 L= 300</x:v>
      </x:c>
      <x:c r="D114" s="26" t="str">
        <x:v>шт.</x:v>
      </x:c>
      <x:c r="E114" s="83" t="n">
        <x:v>2</x:v>
      </x:c>
      <x:c r="F114" s="84" t="n">
        <x:v>1</x:v>
      </x:c>
      <x:c r="G114" s="83" t="n">
        <x:f>E114*F114</x:f>
        <x:v>2</x:v>
      </x:c>
      <x:c r="H114" s="83" t="n">
        <x:v>1.74</x:v>
      </x:c>
      <x:c r="I114" s="83" t="n">
        <x:f>IF(H114="","",G114*H114)</x:f>
        <x:v>3.48</x:v>
      </x:c>
      <x:c r="J114" s="26" t="str">
        <x:v>Л.34, PDF 35</x:v>
      </x:c>
      <x:c r="K114" s="26" t="str">
        <x:v>Геометрия частичная; контроль по вкладке 07.</x:v>
      </x:c>
    </x:row>
    <x:row r="115" ht="46" customHeight="1">
      <x:c r="A115" s="22" t="str">
        <x:v>МУ 28</x:v>
      </x:c>
      <x:c r="B115" s="22" t="str">
        <x:v>4</x:v>
      </x:c>
      <x:c r="C115" s="22" t="str">
        <x:v>Уголок 75х5ГОСТ 8509-93 С245 ГОСТ 27772-2015 L= 800</x:v>
      </x:c>
      <x:c r="D115" s="22" t="str">
        <x:v>шт.</x:v>
      </x:c>
      <x:c r="E115" s="85" t="n">
        <x:v>2</x:v>
      </x:c>
      <x:c r="F115" s="86" t="n">
        <x:v>1</x:v>
      </x:c>
      <x:c r="G115" s="85" t="n">
        <x:f>E115*F115</x:f>
        <x:v>2</x:v>
      </x:c>
      <x:c r="H115" s="85" t="n">
        <x:v>4.64</x:v>
      </x:c>
      <x:c r="I115" s="85" t="n">
        <x:f>IF(H115="","",G115*H115)</x:f>
        <x:v>9.28</x:v>
      </x:c>
      <x:c r="J115" s="22" t="str">
        <x:v>Л.34, PDF 35</x:v>
      </x:c>
      <x:c r="K115" s="22" t="str">
        <x:v>Геометрия частичная; контроль по вкладке 07.</x:v>
      </x:c>
    </x:row>
    <x:row r="116" ht="46" customHeight="1">
      <x:c r="A116" s="26" t="str">
        <x:v>МУ 28</x:v>
      </x:c>
      <x:c r="B116" s="26" t="str">
        <x:v>5</x:v>
      </x:c>
      <x:c r="C116" s="26" t="str">
        <x:v>Уголок 75х5ГОСТ 8509-93 С245 ГОСТ 27772-2015 L= 780</x:v>
      </x:c>
      <x:c r="D116" s="26" t="str">
        <x:v>шт.</x:v>
      </x:c>
      <x:c r="E116" s="83" t="n">
        <x:v>2</x:v>
      </x:c>
      <x:c r="F116" s="84" t="n">
        <x:v>1</x:v>
      </x:c>
      <x:c r="G116" s="83" t="n">
        <x:f>E116*F116</x:f>
        <x:v>2</x:v>
      </x:c>
      <x:c r="H116" s="83" t="n">
        <x:v>4.52</x:v>
      </x:c>
      <x:c r="I116" s="83" t="n">
        <x:f>IF(H116="","",G116*H116)</x:f>
        <x:v>9.04</x:v>
      </x:c>
      <x:c r="J116" s="26" t="str">
        <x:v>Л.34, PDF 35</x:v>
      </x:c>
      <x:c r="K116" s="26" t="str">
        <x:v>Геометрия частичная; контроль по вкладке 07.</x:v>
      </x:c>
    </x:row>
    <x:row r="117" ht="46" customHeight="1">
      <x:c r="A117" s="22" t="str">
        <x:v>МУ 28</x:v>
      </x:c>
      <x:c r="B117" s="22" t="str"/>
      <x:c r="C117" s="22" t="str">
        <x:v>Бетон В 20</x:v>
      </x:c>
      <x:c r="D117" s="22" t="str">
        <x:v>м³</x:v>
      </x:c>
      <x:c r="E117" s="85" t="n">
        <x:v>1.75</x:v>
      </x:c>
      <x:c r="F117" s="86" t="n">
        <x:v>1</x:v>
      </x:c>
      <x:c r="G117" s="85" t="n">
        <x:f>E117*F117</x:f>
        <x:v>1.75</x:v>
      </x:c>
      <x:c r="H117" s="85"/>
      <x:c r="I117" s="85" t="str">
        <x:f>IF(H117="","",G117*H117)</x:f>
      </x:c>
      <x:c r="J117" s="22" t="str">
        <x:v>Л.34, PDF 35</x:v>
      </x:c>
      <x:c r="K117" s="22" t="str">
        <x:v>Исходная строка РД; не масса смонтированной конструкции.</x:v>
      </x:c>
    </x:row>
    <x:row r="118" ht="46" customHeight="1">
      <x:c r="A118" s="26" t="str">
        <x:v>МУ 28</x:v>
      </x:c>
      <x:c r="B118" s="26" t="str"/>
      <x:c r="C118" s="26" t="str">
        <x:v>Профлист Н 75-750-0,8</x:v>
      </x:c>
      <x:c r="D118" s="26" t="str">
        <x:v>м²</x:v>
      </x:c>
      <x:c r="E118" s="83" t="n">
        <x:v>9.66</x:v>
      </x:c>
      <x:c r="F118" s="84" t="n">
        <x:v>1</x:v>
      </x:c>
      <x:c r="G118" s="83" t="n">
        <x:f>E118*F118</x:f>
        <x:v>9.66</x:v>
      </x:c>
      <x:c r="H118" s="83"/>
      <x:c r="I118" s="83" t="str">
        <x:f>IF(H118="","",G118*H118)</x:f>
      </x:c>
      <x:c r="J118" s="26" t="str">
        <x:v>Л.34, PDF 35</x:v>
      </x:c>
      <x:c r="K118" s="26" t="str">
        <x:v>Исходная строка РД; не масса смонтированной конструкции.</x:v>
      </x:c>
    </x:row>
    <x:row r="119" ht="46" customHeight="1">
      <x:c r="A119" s="22" t="str">
        <x:v>МУ 29</x:v>
      </x:c>
      <x:c r="B119" s="22" t="str">
        <x:v>Б 1</x:v>
      </x:c>
      <x:c r="C119" s="22" t="str">
        <x:v>Балка металлическая Б 1</x:v>
      </x:c>
      <x:c r="D119" s="22" t="str">
        <x:v>шт.</x:v>
      </x:c>
      <x:c r="E119" s="85" t="n">
        <x:v>2</x:v>
      </x:c>
      <x:c r="F119" s="86" t="n">
        <x:v>1</x:v>
      </x:c>
      <x:c r="G119" s="85" t="n">
        <x:f>E119*F119</x:f>
        <x:v>2</x:v>
      </x:c>
      <x:c r="H119" s="85"/>
      <x:c r="I119" s="85" t="str">
        <x:f>IF(H119="","",G119*H119)</x:f>
      </x:c>
      <x:c r="J119" s="22" t="str">
        <x:v>Л.34, PDF 35</x:v>
      </x:c>
      <x:c r="K119" s="22" t="str">
        <x:v>Сборка Б1. Состав/масса только на вкладке 04; здесь массу не суммировать.</x:v>
      </x:c>
    </x:row>
    <x:row r="120" ht="46" customHeight="1">
      <x:c r="A120" s="26" t="str">
        <x:v>МУ 29</x:v>
      </x:c>
      <x:c r="B120" s="26" t="str">
        <x:v>КР 1</x:v>
      </x:c>
      <x:c r="C120" s="26" t="str">
        <x:v>Каркас КР 1</x:v>
      </x:c>
      <x:c r="D120" s="26" t="str">
        <x:v>шт.</x:v>
      </x:c>
      <x:c r="E120" s="83" t="n">
        <x:v>31</x:v>
      </x:c>
      <x:c r="F120" s="84" t="n">
        <x:v>1</x:v>
      </x:c>
      <x:c r="G120" s="83" t="n">
        <x:f>E120*F120</x:f>
        <x:v>31</x:v>
      </x:c>
      <x:c r="H120" s="83"/>
      <x:c r="I120" s="83" t="str">
        <x:f>IF(H120="","",G120*H120)</x:f>
      </x:c>
      <x:c r="J120" s="26" t="str">
        <x:v>Л.34, PDF 35</x:v>
      </x:c>
      <x:c r="K120" s="26" t="str">
        <x:v>В РД; полная пространственная раскладка не смоделирована.</x:v>
      </x:c>
    </x:row>
    <x:row r="121" ht="46" customHeight="1">
      <x:c r="A121" s="22" t="str">
        <x:v>МУ 29</x:v>
      </x:c>
      <x:c r="B121" s="22" t="str">
        <x:v>6</x:v>
      </x:c>
      <x:c r="C121" s="22" t="str">
        <x:v>12- А 500 С , L =5740</x:v>
      </x:c>
      <x:c r="D121" s="22" t="str">
        <x:v>шт.</x:v>
      </x:c>
      <x:c r="E121" s="85" t="n">
        <x:v>10</x:v>
      </x:c>
      <x:c r="F121" s="86" t="n">
        <x:v>1</x:v>
      </x:c>
      <x:c r="G121" s="85" t="n">
        <x:f>E121*F121</x:f>
        <x:v>10</x:v>
      </x:c>
      <x:c r="H121" s="85" t="n">
        <x:v>5.1</x:v>
      </x:c>
      <x:c r="I121" s="85" t="n">
        <x:f>IF(H121="","",G121*H121)</x:f>
        <x:v>51</x:v>
      </x:c>
      <x:c r="J121" s="22" t="str">
        <x:v>Л.34, PDF 35</x:v>
      </x:c>
      <x:c r="K121" s="22" t="str">
        <x:v>Исходная строка РД; не масса смонтированной конструкции.</x:v>
      </x:c>
    </x:row>
    <x:row r="122" ht="46" customHeight="1">
      <x:c r="A122" s="26" t="str">
        <x:v>МУ 29</x:v>
      </x:c>
      <x:c r="B122" s="26" t="str">
        <x:v>7</x:v>
      </x:c>
      <x:c r="C122" s="26" t="str">
        <x:v>Уголок 75х5ГОСТ 8509-93 С245 ГОСТ 27772-2015 L=1750</x:v>
      </x:c>
      <x:c r="D122" s="26" t="str">
        <x:v>шт.</x:v>
      </x:c>
      <x:c r="E122" s="83" t="n">
        <x:v>2</x:v>
      </x:c>
      <x:c r="F122" s="84" t="n">
        <x:v>1</x:v>
      </x:c>
      <x:c r="G122" s="83" t="n">
        <x:f>E122*F122</x:f>
        <x:v>2</x:v>
      </x:c>
      <x:c r="H122" s="83" t="n">
        <x:v>10.15</x:v>
      </x:c>
      <x:c r="I122" s="83" t="n">
        <x:f>IF(H122="","",G122*H122)</x:f>
        <x:v>20.3</x:v>
      </x:c>
      <x:c r="J122" s="26" t="str">
        <x:v>Л.34, PDF 35</x:v>
      </x:c>
      <x:c r="K122" s="26" t="str">
        <x:v>Геометрия частичная; контроль по вкладке 07.</x:v>
      </x:c>
    </x:row>
    <x:row r="123" ht="46" customHeight="1">
      <x:c r="A123" s="22" t="str">
        <x:v>МУ 29</x:v>
      </x:c>
      <x:c r="B123" s="22" t="str">
        <x:v>8</x:v>
      </x:c>
      <x:c r="C123" s="22" t="str">
        <x:v>Уголок 75х5ГОСТ 8509-93 С245 ГОСТ 27772-2015 L= 415</x:v>
      </x:c>
      <x:c r="D123" s="22" t="str">
        <x:v>шт.</x:v>
      </x:c>
      <x:c r="E123" s="85" t="n">
        <x:v>2</x:v>
      </x:c>
      <x:c r="F123" s="86" t="n">
        <x:v>1</x:v>
      </x:c>
      <x:c r="G123" s="85" t="n">
        <x:f>E123*F123</x:f>
        <x:v>2</x:v>
      </x:c>
      <x:c r="H123" s="85" t="n">
        <x:v>2.41</x:v>
      </x:c>
      <x:c r="I123" s="85" t="n">
        <x:f>IF(H123="","",G123*H123)</x:f>
        <x:v>4.82</x:v>
      </x:c>
      <x:c r="J123" s="22" t="str">
        <x:v>Л.34, PDF 35</x:v>
      </x:c>
      <x:c r="K123" s="22" t="str">
        <x:v>Геометрия частичная; контроль по вкладке 07.</x:v>
      </x:c>
    </x:row>
    <x:row r="124" ht="46" customHeight="1">
      <x:c r="A124" s="26" t="str">
        <x:v>МУ 29</x:v>
      </x:c>
      <x:c r="B124" s="26" t="str">
        <x:v>9</x:v>
      </x:c>
      <x:c r="C124" s="26" t="str">
        <x:v>Уголок 75х5ГОСТ 8509-93 С245 ГОСТ 27772-2015 L= 1305</x:v>
      </x:c>
      <x:c r="D124" s="26" t="str">
        <x:v>шт.</x:v>
      </x:c>
      <x:c r="E124" s="83" t="n">
        <x:v>2</x:v>
      </x:c>
      <x:c r="F124" s="84" t="n">
        <x:v>1</x:v>
      </x:c>
      <x:c r="G124" s="83" t="n">
        <x:f>E124*F124</x:f>
        <x:v>2</x:v>
      </x:c>
      <x:c r="H124" s="83" t="n">
        <x:v>7.57</x:v>
      </x:c>
      <x:c r="I124" s="83" t="n">
        <x:f>IF(H124="","",G124*H124)</x:f>
        <x:v>15.14</x:v>
      </x:c>
      <x:c r="J124" s="26" t="str">
        <x:v>Л.34, PDF 35</x:v>
      </x:c>
      <x:c r="K124" s="26" t="str">
        <x:v>Геометрия частичная; контроль по вкладке 07.</x:v>
      </x:c>
    </x:row>
    <x:row r="125" ht="46" customHeight="1">
      <x:c r="A125" s="22" t="str">
        <x:v>МУ 29</x:v>
      </x:c>
      <x:c r="B125" s="22" t="str"/>
      <x:c r="C125" s="22" t="str">
        <x:v>Бетон В 20</x:v>
      </x:c>
      <x:c r="D125" s="22" t="str">
        <x:v>м³</x:v>
      </x:c>
      <x:c r="E125" s="85" t="n">
        <x:v>1.75</x:v>
      </x:c>
      <x:c r="F125" s="86" t="n">
        <x:v>1</x:v>
      </x:c>
      <x:c r="G125" s="85" t="n">
        <x:f>E125*F125</x:f>
        <x:v>1.75</x:v>
      </x:c>
      <x:c r="H125" s="85"/>
      <x:c r="I125" s="85" t="str">
        <x:f>IF(H125="","",G125*H125)</x:f>
      </x:c>
      <x:c r="J125" s="22" t="str">
        <x:v>Л.34, PDF 35</x:v>
      </x:c>
      <x:c r="K125" s="22" t="str">
        <x:v>Исходная строка РД; не масса смонтированной конструкции.</x:v>
      </x:c>
    </x:row>
    <x:row r="126" ht="46" customHeight="1">
      <x:c r="A126" s="26" t="str">
        <x:v>МУ 29</x:v>
      </x:c>
      <x:c r="B126" s="26" t="str"/>
      <x:c r="C126" s="26" t="str">
        <x:v>Профлист Н 75-750-0,8</x:v>
      </x:c>
      <x:c r="D126" s="26" t="str">
        <x:v>м²</x:v>
      </x:c>
      <x:c r="E126" s="83" t="n">
        <x:v>8.92</x:v>
      </x:c>
      <x:c r="F126" s="84" t="n">
        <x:v>1</x:v>
      </x:c>
      <x:c r="G126" s="83" t="n">
        <x:f>E126*F126</x:f>
        <x:v>8.92</x:v>
      </x:c>
      <x:c r="H126" s="83"/>
      <x:c r="I126" s="83" t="str">
        <x:f>IF(H126="","",G126*H126)</x:f>
      </x:c>
      <x:c r="J126" s="26" t="str">
        <x:v>Л.34, PDF 35</x:v>
      </x:c>
      <x:c r="K126" s="26" t="str">
        <x:v>Исходная строка РД; не масса смонтированной конструкции.</x:v>
      </x:c>
    </x:row>
    <x:row r="127" ht="46" customHeight="1">
      <x:c r="A127" s="22" t="str">
        <x:v>МУ 30</x:v>
      </x:c>
      <x:c r="B127" s="22" t="str">
        <x:v>Б 1</x:v>
      </x:c>
      <x:c r="C127" s="22" t="str">
        <x:v>Балка металлическая Б 1</x:v>
      </x:c>
      <x:c r="D127" s="22" t="str">
        <x:v>шт.</x:v>
      </x:c>
      <x:c r="E127" s="85" t="n">
        <x:v>2</x:v>
      </x:c>
      <x:c r="F127" s="86" t="n">
        <x:v>1</x:v>
      </x:c>
      <x:c r="G127" s="85" t="n">
        <x:f>E127*F127</x:f>
        <x:v>2</x:v>
      </x:c>
      <x:c r="H127" s="85"/>
      <x:c r="I127" s="85" t="str">
        <x:f>IF(H127="","",G127*H127)</x:f>
      </x:c>
      <x:c r="J127" s="22" t="str">
        <x:v>Л.35, PDF 36</x:v>
      </x:c>
      <x:c r="K127" s="22" t="str">
        <x:v>Сборка Б1. Состав/масса только на вкладке 04; здесь массу не суммировать.</x:v>
      </x:c>
    </x:row>
    <x:row r="128" ht="46" customHeight="1">
      <x:c r="A128" s="26" t="str">
        <x:v>МУ 30</x:v>
      </x:c>
      <x:c r="B128" s="26" t="str">
        <x:v>КР 1</x:v>
      </x:c>
      <x:c r="C128" s="26" t="str">
        <x:v>Каркас КР 1</x:v>
      </x:c>
      <x:c r="D128" s="26" t="str">
        <x:v>шт.</x:v>
      </x:c>
      <x:c r="E128" s="83" t="n">
        <x:v>31</x:v>
      </x:c>
      <x:c r="F128" s="84" t="n">
        <x:v>1</x:v>
      </x:c>
      <x:c r="G128" s="83" t="n">
        <x:f>E128*F128</x:f>
        <x:v>31</x:v>
      </x:c>
      <x:c r="H128" s="83"/>
      <x:c r="I128" s="83" t="str">
        <x:f>IF(H128="","",G128*H128)</x:f>
      </x:c>
      <x:c r="J128" s="26" t="str">
        <x:v>Л.35, PDF 36</x:v>
      </x:c>
      <x:c r="K128" s="26" t="str">
        <x:v>В РД; полная пространственная раскладка не смоделирована.</x:v>
      </x:c>
    </x:row>
    <x:row r="129" ht="46" customHeight="1">
      <x:c r="A129" s="22" t="str">
        <x:v>МУ 30</x:v>
      </x:c>
      <x:c r="B129" s="22" t="str">
        <x:v>1</x:v>
      </x:c>
      <x:c r="C129" s="22" t="str">
        <x:v>12- А 500 С , L =5740</x:v>
      </x:c>
      <x:c r="D129" s="22" t="str">
        <x:v>шт.</x:v>
      </x:c>
      <x:c r="E129" s="85" t="n">
        <x:v>10</x:v>
      </x:c>
      <x:c r="F129" s="86" t="n">
        <x:v>1</x:v>
      </x:c>
      <x:c r="G129" s="85" t="n">
        <x:f>E129*F129</x:f>
        <x:v>10</x:v>
      </x:c>
      <x:c r="H129" s="85" t="n">
        <x:v>5.1</x:v>
      </x:c>
      <x:c r="I129" s="85" t="n">
        <x:f>IF(H129="","",G129*H129)</x:f>
        <x:v>51</x:v>
      </x:c>
      <x:c r="J129" s="22" t="str">
        <x:v>Л.35, PDF 36</x:v>
      </x:c>
      <x:c r="K129" s="22" t="str">
        <x:v>Исходная строка РД; не масса смонтированной конструкции.</x:v>
      </x:c>
    </x:row>
    <x:row r="130" ht="46" customHeight="1">
      <x:c r="A130" s="26" t="str">
        <x:v>МУ 30</x:v>
      </x:c>
      <x:c r="B130" s="26" t="str">
        <x:v>2</x:v>
      </x:c>
      <x:c r="C130" s="26" t="str">
        <x:v>Уголок 75х5ГОСТ 8509-93 С245 ГОСТ 27772-2015 L=1750</x:v>
      </x:c>
      <x:c r="D130" s="26" t="str">
        <x:v>шт.</x:v>
      </x:c>
      <x:c r="E130" s="83" t="n">
        <x:v>2</x:v>
      </x:c>
      <x:c r="F130" s="84" t="n">
        <x:v>1</x:v>
      </x:c>
      <x:c r="G130" s="83" t="n">
        <x:f>E130*F130</x:f>
        <x:v>2</x:v>
      </x:c>
      <x:c r="H130" s="83" t="n">
        <x:v>10.15</x:v>
      </x:c>
      <x:c r="I130" s="83" t="n">
        <x:f>IF(H130="","",G130*H130)</x:f>
        <x:v>20.3</x:v>
      </x:c>
      <x:c r="J130" s="26" t="str">
        <x:v>Л.35, PDF 36</x:v>
      </x:c>
      <x:c r="K130" s="26" t="str">
        <x:v>Геометрия частичная; контроль по вкладке 07.</x:v>
      </x:c>
    </x:row>
    <x:row r="131" ht="46" customHeight="1">
      <x:c r="A131" s="22" t="str">
        <x:v>МУ 30</x:v>
      </x:c>
      <x:c r="B131" s="22" t="str">
        <x:v>3</x:v>
      </x:c>
      <x:c r="C131" s="22" t="str">
        <x:v>Уголок 75х5ГОСТ 8509-93 С245 ГОСТ 27772-2015 L= 950</x:v>
      </x:c>
      <x:c r="D131" s="22" t="str">
        <x:v>шт.</x:v>
      </x:c>
      <x:c r="E131" s="85" t="n">
        <x:v>2</x:v>
      </x:c>
      <x:c r="F131" s="86" t="n">
        <x:v>1</x:v>
      </x:c>
      <x:c r="G131" s="85" t="n">
        <x:f>E131*F131</x:f>
        <x:v>2</x:v>
      </x:c>
      <x:c r="H131" s="85" t="n">
        <x:v>5.51</x:v>
      </x:c>
      <x:c r="I131" s="85" t="n">
        <x:f>IF(H131="","",G131*H131)</x:f>
        <x:v>11.02</x:v>
      </x:c>
      <x:c r="J131" s="22" t="str">
        <x:v>Л.35, PDF 36</x:v>
      </x:c>
      <x:c r="K131" s="22" t="str">
        <x:v>Геометрия частичная; контроль по вкладке 07.</x:v>
      </x:c>
    </x:row>
    <x:row r="132" ht="46" customHeight="1">
      <x:c r="A132" s="26" t="str">
        <x:v>МУ 30</x:v>
      </x:c>
      <x:c r="B132" s="26" t="str"/>
      <x:c r="C132" s="26" t="str">
        <x:v>Бетон В 20</x:v>
      </x:c>
      <x:c r="D132" s="26" t="str">
        <x:v>м³</x:v>
      </x:c>
      <x:c r="E132" s="83" t="n">
        <x:v>1.75</x:v>
      </x:c>
      <x:c r="F132" s="84" t="n">
        <x:v>1</x:v>
      </x:c>
      <x:c r="G132" s="83" t="n">
        <x:f>E132*F132</x:f>
        <x:v>1.75</x:v>
      </x:c>
      <x:c r="H132" s="83"/>
      <x:c r="I132" s="83" t="str">
        <x:f>IF(H132="","",G132*H132)</x:f>
      </x:c>
      <x:c r="J132" s="26" t="str">
        <x:v>Л.35, PDF 36</x:v>
      </x:c>
      <x:c r="K132" s="26" t="str">
        <x:v>Исходная строка РД; не масса смонтированной конструкции.</x:v>
      </x:c>
    </x:row>
    <x:row r="133" ht="46" customHeight="1">
      <x:c r="A133" s="22" t="str">
        <x:v>МУ 30</x:v>
      </x:c>
      <x:c r="B133" s="22" t="str"/>
      <x:c r="C133" s="22" t="str">
        <x:v>Профлист Н 75-750-0,8</x:v>
      </x:c>
      <x:c r="D133" s="22" t="str">
        <x:v>м²</x:v>
      </x:c>
      <x:c r="E133" s="85" t="n">
        <x:v>10.1</x:v>
      </x:c>
      <x:c r="F133" s="86" t="n">
        <x:v>1</x:v>
      </x:c>
      <x:c r="G133" s="85" t="n">
        <x:f>E133*F133</x:f>
        <x:v>10.1</x:v>
      </x:c>
      <x:c r="H133" s="85"/>
      <x:c r="I133" s="85" t="str">
        <x:f>IF(H133="","",G133*H133)</x:f>
      </x:c>
      <x:c r="J133" s="22" t="str">
        <x:v>Л.35, PDF 36</x:v>
      </x:c>
      <x:c r="K133" s="22" t="str">
        <x:v>Исходная строка РД; не масса смонтированной конструкции.</x:v>
      </x:c>
    </x:row>
    <x:row r="134" ht="46" customHeight="1">
      <x:c r="A134" s="26" t="str">
        <x:v>МУ 31</x:v>
      </x:c>
      <x:c r="B134" s="26" t="str">
        <x:v>4</x:v>
      </x:c>
      <x:c r="C134" s="26" t="str">
        <x:v>16 - А 500 С , м.п</x:v>
      </x:c>
      <x:c r="D134" s="26" t="str">
        <x:v>п.м</x:v>
      </x:c>
      <x:c r="E134" s="83" t="n">
        <x:v>34.5</x:v>
      </x:c>
      <x:c r="F134" s="84" t="n">
        <x:v>1</x:v>
      </x:c>
      <x:c r="G134" s="83" t="n">
        <x:f>E134*F134</x:f>
        <x:v>34.5</x:v>
      </x:c>
      <x:c r="H134" s="83" t="n">
        <x:v>1.578</x:v>
      </x:c>
      <x:c r="I134" s="83" t="n">
        <x:f>IF(H134="","",G134*H134)</x:f>
        <x:v>54.441</x:v>
      </x:c>
      <x:c r="J134" s="26" t="str">
        <x:v>Л.35, PDF 36</x:v>
      </x:c>
      <x:c r="K134" s="26" t="str">
        <x:v>Исходная строка РД; не масса смонтированной конструкции.</x:v>
      </x:c>
    </x:row>
    <x:row r="135" ht="46" customHeight="1">
      <x:c r="A135" s="22" t="str">
        <x:v>МУ 31</x:v>
      </x:c>
      <x:c r="B135" s="22" t="str">
        <x:v>П 1</x:v>
      </x:c>
      <x:c r="C135" s="22" t="str">
        <x:v>12- А 500 С , L =1315</x:v>
      </x:c>
      <x:c r="D135" s="22" t="str">
        <x:v>шт.</x:v>
      </x:c>
      <x:c r="E135" s="85" t="n">
        <x:v>6</x:v>
      </x:c>
      <x:c r="F135" s="86" t="n">
        <x:v>1</x:v>
      </x:c>
      <x:c r="G135" s="85" t="n">
        <x:f>E135*F135</x:f>
        <x:v>6</x:v>
      </x:c>
      <x:c r="H135" s="85" t="n">
        <x:v>1.17</x:v>
      </x:c>
      <x:c r="I135" s="85" t="n">
        <x:f>IF(H135="","",G135*H135)</x:f>
        <x:v>7.02</x:v>
      </x:c>
      <x:c r="J135" s="22" t="str">
        <x:v>Л.35, PDF 36</x:v>
      </x:c>
      <x:c r="K135" s="22" t="str">
        <x:v>Исходная строка РД; не масса смонтированной конструкции.</x:v>
      </x:c>
    </x:row>
    <x:row r="136" ht="46" customHeight="1">
      <x:c r="A136" s="26" t="str">
        <x:v>МУ 31</x:v>
      </x:c>
      <x:c r="B136" s="26" t="str">
        <x:v>Х 1</x:v>
      </x:c>
      <x:c r="C136" s="26" t="str">
        <x:v>10- А 500 С , L =860</x:v>
      </x:c>
      <x:c r="D136" s="26" t="str">
        <x:v>шт.</x:v>
      </x:c>
      <x:c r="E136" s="83" t="n">
        <x:v>112</x:v>
      </x:c>
      <x:c r="F136" s="84" t="n">
        <x:v>1</x:v>
      </x:c>
      <x:c r="G136" s="83" t="n">
        <x:f>E136*F136</x:f>
        <x:v>112</x:v>
      </x:c>
      <x:c r="H136" s="83" t="n">
        <x:v>0.51</x:v>
      </x:c>
      <x:c r="I136" s="83" t="n">
        <x:f>IF(H136="","",G136*H136)</x:f>
        <x:v>57.120000000000005</x:v>
      </x:c>
      <x:c r="J136" s="26" t="str">
        <x:v>Л.35, PDF 36</x:v>
      </x:c>
      <x:c r="K136" s="26" t="str">
        <x:v>Исходная строка РД; не масса смонтированной конструкции.</x:v>
      </x:c>
    </x:row>
    <x:row r="137" ht="46" customHeight="1">
      <x:c r="A137" s="22" t="str">
        <x:v>МУ 31</x:v>
      </x:c>
      <x:c r="B137" s="22" t="str"/>
      <x:c r="C137" s="22" t="str">
        <x:v>Бетон В 20</x:v>
      </x:c>
      <x:c r="D137" s="22" t="str">
        <x:v>м³</x:v>
      </x:c>
      <x:c r="E137" s="85" t="n">
        <x:v>0.64</x:v>
      </x:c>
      <x:c r="F137" s="86" t="n">
        <x:v>1</x:v>
      </x:c>
      <x:c r="G137" s="85" t="n">
        <x:f>E137*F137</x:f>
        <x:v>0.64</x:v>
      </x:c>
      <x:c r="H137" s="85"/>
      <x:c r="I137" s="85" t="str">
        <x:f>IF(H137="","",G137*H137)</x:f>
      </x:c>
      <x:c r="J137" s="22" t="str">
        <x:v>Л.35, PDF 36</x:v>
      </x:c>
      <x:c r="K137" s="22" t="str">
        <x:v>Исходная строка РД; не масса смонтированной конструкции.</x:v>
      </x:c>
    </x:row>
    <x:row r="138" ht="46" customHeight="1">
      <x:c r="A138" s="26" t="str">
        <x:v>МУ 32</x:v>
      </x:c>
      <x:c r="B138" s="26" t="str">
        <x:v>Б 1</x:v>
      </x:c>
      <x:c r="C138" s="26" t="str">
        <x:v>Балка металлическая Б 1</x:v>
      </x:c>
      <x:c r="D138" s="26" t="str">
        <x:v>шт.</x:v>
      </x:c>
      <x:c r="E138" s="83" t="n">
        <x:v>2</x:v>
      </x:c>
      <x:c r="F138" s="84" t="n">
        <x:v>1</x:v>
      </x:c>
      <x:c r="G138" s="83" t="n">
        <x:f>E138*F138</x:f>
        <x:v>2</x:v>
      </x:c>
      <x:c r="H138" s="83"/>
      <x:c r="I138" s="83" t="str">
        <x:f>IF(H138="","",G138*H138)</x:f>
      </x:c>
      <x:c r="J138" s="26" t="str">
        <x:v>Л.36, PDF 37</x:v>
      </x:c>
      <x:c r="K138" s="26" t="str">
        <x:v>Сборка Б1. Состав/масса только на вкладке 04; здесь массу не суммировать.</x:v>
      </x:c>
    </x:row>
    <x:row r="139" ht="46" customHeight="1">
      <x:c r="A139" s="22" t="str">
        <x:v>МУ 32</x:v>
      </x:c>
      <x:c r="B139" s="22" t="str">
        <x:v>1</x:v>
      </x:c>
      <x:c r="C139" s="22" t="str">
        <x:v>12- А 500 С , L =5740</x:v>
      </x:c>
      <x:c r="D139" s="22" t="str">
        <x:v>шт.</x:v>
      </x:c>
      <x:c r="E139" s="85" t="n">
        <x:v>10</x:v>
      </x:c>
      <x:c r="F139" s="86" t="n">
        <x:v>1</x:v>
      </x:c>
      <x:c r="G139" s="85" t="n">
        <x:f>E139*F139</x:f>
        <x:v>10</x:v>
      </x:c>
      <x:c r="H139" s="85" t="n">
        <x:v>5.1</x:v>
      </x:c>
      <x:c r="I139" s="85" t="n">
        <x:f>IF(H139="","",G139*H139)</x:f>
        <x:v>51</x:v>
      </x:c>
      <x:c r="J139" s="22" t="str">
        <x:v>Л.36, PDF 37</x:v>
      </x:c>
      <x:c r="K139" s="22" t="str">
        <x:v>Исходная строка РД; не масса смонтированной конструкции.</x:v>
      </x:c>
    </x:row>
    <x:row r="140" ht="46" customHeight="1">
      <x:c r="A140" s="26" t="str">
        <x:v>МУ 32</x:v>
      </x:c>
      <x:c r="B140" s="26" t="str">
        <x:v>КР 1</x:v>
      </x:c>
      <x:c r="C140" s="26" t="str">
        <x:v>Каркас КР 1</x:v>
      </x:c>
      <x:c r="D140" s="26" t="str">
        <x:v>шт.</x:v>
      </x:c>
      <x:c r="E140" s="83" t="n">
        <x:v>31</x:v>
      </x:c>
      <x:c r="F140" s="84" t="n">
        <x:v>1</x:v>
      </x:c>
      <x:c r="G140" s="83" t="n">
        <x:f>E140*F140</x:f>
        <x:v>31</x:v>
      </x:c>
      <x:c r="H140" s="83"/>
      <x:c r="I140" s="83" t="str">
        <x:f>IF(H140="","",G140*H140)</x:f>
      </x:c>
      <x:c r="J140" s="26" t="str">
        <x:v>Л.36, PDF 37</x:v>
      </x:c>
      <x:c r="K140" s="26" t="str">
        <x:v>В РД; полная пространственная раскладка не смоделирована.</x:v>
      </x:c>
    </x:row>
    <x:row r="141" ht="46" customHeight="1">
      <x:c r="A141" s="22" t="str">
        <x:v>МУ 32</x:v>
      </x:c>
      <x:c r="B141" s="22" t="str">
        <x:v>2</x:v>
      </x:c>
      <x:c r="C141" s="22" t="str">
        <x:v>Уголок 75х5ГОСТ 8509-93 С245 ГОСТ 27772-2015 L=1750</x:v>
      </x:c>
      <x:c r="D141" s="22" t="str">
        <x:v>шт.</x:v>
      </x:c>
      <x:c r="E141" s="85" t="n">
        <x:v>2</x:v>
      </x:c>
      <x:c r="F141" s="86" t="n">
        <x:v>1</x:v>
      </x:c>
      <x:c r="G141" s="85" t="n">
        <x:f>E141*F141</x:f>
        <x:v>2</x:v>
      </x:c>
      <x:c r="H141" s="85" t="n">
        <x:v>10.15</x:v>
      </x:c>
      <x:c r="I141" s="85" t="n">
        <x:f>IF(H141="","",G141*H141)</x:f>
        <x:v>20.3</x:v>
      </x:c>
      <x:c r="J141" s="22" t="str">
        <x:v>Л.36, PDF 37</x:v>
      </x:c>
      <x:c r="K141" s="22" t="str">
        <x:v>Геометрия частичная; контроль по вкладке 07.</x:v>
      </x:c>
    </x:row>
    <x:row r="142" ht="46" customHeight="1">
      <x:c r="A142" s="26" t="str">
        <x:v>МУ 32</x:v>
      </x:c>
      <x:c r="B142" s="26" t="str">
        <x:v>3</x:v>
      </x:c>
      <x:c r="C142" s="26" t="str">
        <x:v>Уголок 75х5ГОСТ 8509-93 С245 ГОСТ 27772-2015 L= 900</x:v>
      </x:c>
      <x:c r="D142" s="26" t="str">
        <x:v>шт.</x:v>
      </x:c>
      <x:c r="E142" s="83" t="n">
        <x:v>3</x:v>
      </x:c>
      <x:c r="F142" s="84" t="n">
        <x:v>1</x:v>
      </x:c>
      <x:c r="G142" s="83" t="n">
        <x:f>E142*F142</x:f>
        <x:v>3</x:v>
      </x:c>
      <x:c r="H142" s="83" t="n">
        <x:v>5.22</x:v>
      </x:c>
      <x:c r="I142" s="83" t="n">
        <x:f>IF(H142="","",G142*H142)</x:f>
        <x:v>15.66</x:v>
      </x:c>
      <x:c r="J142" s="26" t="str">
        <x:v>Л.36, PDF 37</x:v>
      </x:c>
      <x:c r="K142" s="26" t="str">
        <x:v>Геометрия частичная; контроль по вкладке 07.</x:v>
      </x:c>
    </x:row>
    <x:row r="143" ht="46" customHeight="1">
      <x:c r="A143" s="22" t="str">
        <x:v>МУ 32</x:v>
      </x:c>
      <x:c r="B143" s="22" t="str"/>
      <x:c r="C143" s="22" t="str">
        <x:v>Бетон В 20</x:v>
      </x:c>
      <x:c r="D143" s="22" t="str">
        <x:v>м³</x:v>
      </x:c>
      <x:c r="E143" s="85" t="n">
        <x:v>1.75</x:v>
      </x:c>
      <x:c r="F143" s="86" t="n">
        <x:v>1</x:v>
      </x:c>
      <x:c r="G143" s="85" t="n">
        <x:f>E143*F143</x:f>
        <x:v>1.75</x:v>
      </x:c>
      <x:c r="H143" s="85"/>
      <x:c r="I143" s="85" t="str">
        <x:f>IF(H143="","",G143*H143)</x:f>
      </x:c>
      <x:c r="J143" s="22" t="str">
        <x:v>Л.36, PDF 37</x:v>
      </x:c>
      <x:c r="K143" s="22" t="str">
        <x:v>Исходная строка РД; не масса смонтированной конструкции.</x:v>
      </x:c>
    </x:row>
    <x:row r="144" ht="46" customHeight="1">
      <x:c r="A144" s="26" t="str">
        <x:v>МУ 32</x:v>
      </x:c>
      <x:c r="B144" s="26" t="str"/>
      <x:c r="C144" s="26" t="str">
        <x:v>Профлист Н 75-750-0,8</x:v>
      </x:c>
      <x:c r="D144" s="26" t="str">
        <x:v>м²</x:v>
      </x:c>
      <x:c r="E144" s="83" t="n">
        <x:v>9.81</x:v>
      </x:c>
      <x:c r="F144" s="84" t="n">
        <x:v>1</x:v>
      </x:c>
      <x:c r="G144" s="83" t="n">
        <x:f>E144*F144</x:f>
        <x:v>9.81</x:v>
      </x:c>
      <x:c r="H144" s="83"/>
      <x:c r="I144" s="83" t="str">
        <x:f>IF(H144="","",G144*H144)</x:f>
      </x:c>
      <x:c r="J144" s="26" t="str">
        <x:v>Л.36, PDF 37</x:v>
      </x:c>
      <x:c r="K144" s="26" t="str">
        <x:v>Исходная строка РД; не масса смонтированной конструкции.</x:v>
      </x:c>
    </x:row>
    <x:row r="145" ht="46" customHeight="1">
      <x:c r="A145" s="22" t="str">
        <x:v>МУ 33</x:v>
      </x:c>
      <x:c r="B145" s="22" t="str">
        <x:v>Б 1</x:v>
      </x:c>
      <x:c r="C145" s="22" t="str">
        <x:v>Балка металлическая Б 1</x:v>
      </x:c>
      <x:c r="D145" s="22" t="str">
        <x:v>шт.</x:v>
      </x:c>
      <x:c r="E145" s="85" t="n">
        <x:v>2</x:v>
      </x:c>
      <x:c r="F145" s="86" t="n">
        <x:v>1</x:v>
      </x:c>
      <x:c r="G145" s="85" t="n">
        <x:f>E145*F145</x:f>
        <x:v>2</x:v>
      </x:c>
      <x:c r="H145" s="85"/>
      <x:c r="I145" s="85" t="str">
        <x:f>IF(H145="","",G145*H145)</x:f>
      </x:c>
      <x:c r="J145" s="22" t="str">
        <x:v>Л.36, PDF 37</x:v>
      </x:c>
      <x:c r="K145" s="22" t="str">
        <x:v>Сборка Б1. Состав/масса только на вкладке 04; здесь массу не суммировать.</x:v>
      </x:c>
    </x:row>
    <x:row r="146" ht="46" customHeight="1">
      <x:c r="A146" s="26" t="str">
        <x:v>МУ 33</x:v>
      </x:c>
      <x:c r="B146" s="26" t="str">
        <x:v>4</x:v>
      </x:c>
      <x:c r="C146" s="26" t="str">
        <x:v>12- А 500 С , L =5740</x:v>
      </x:c>
      <x:c r="D146" s="26" t="str">
        <x:v>шт.</x:v>
      </x:c>
      <x:c r="E146" s="83" t="n">
        <x:v>10</x:v>
      </x:c>
      <x:c r="F146" s="84" t="n">
        <x:v>1</x:v>
      </x:c>
      <x:c r="G146" s="83" t="n">
        <x:f>E146*F146</x:f>
        <x:v>10</x:v>
      </x:c>
      <x:c r="H146" s="83" t="n">
        <x:v>5.1</x:v>
      </x:c>
      <x:c r="I146" s="83" t="n">
        <x:f>IF(H146="","",G146*H146)</x:f>
        <x:v>51</x:v>
      </x:c>
      <x:c r="J146" s="26" t="str">
        <x:v>Л.36, PDF 37</x:v>
      </x:c>
      <x:c r="K146" s="26" t="str">
        <x:v>Исходная строка РД; не масса смонтированной конструкции.</x:v>
      </x:c>
    </x:row>
    <x:row r="147" ht="46" customHeight="1">
      <x:c r="A147" s="22" t="str">
        <x:v>МУ 33</x:v>
      </x:c>
      <x:c r="B147" s="22" t="str">
        <x:v>КР 1</x:v>
      </x:c>
      <x:c r="C147" s="22" t="str">
        <x:v>Каркас КР 1</x:v>
      </x:c>
      <x:c r="D147" s="22" t="str">
        <x:v>шт.</x:v>
      </x:c>
      <x:c r="E147" s="85" t="n">
        <x:v>31</x:v>
      </x:c>
      <x:c r="F147" s="86" t="n">
        <x:v>1</x:v>
      </x:c>
      <x:c r="G147" s="85" t="n">
        <x:f>E147*F147</x:f>
        <x:v>31</x:v>
      </x:c>
      <x:c r="H147" s="85"/>
      <x:c r="I147" s="85" t="str">
        <x:f>IF(H147="","",G147*H147)</x:f>
      </x:c>
      <x:c r="J147" s="22" t="str">
        <x:v>Л.36, PDF 37</x:v>
      </x:c>
      <x:c r="K147" s="22" t="str">
        <x:v>В РД; полная пространственная раскладка не смоделирована.</x:v>
      </x:c>
    </x:row>
    <x:row r="148" ht="46" customHeight="1">
      <x:c r="A148" s="26" t="str">
        <x:v>МУ 33</x:v>
      </x:c>
      <x:c r="B148" s="26" t="str">
        <x:v>5</x:v>
      </x:c>
      <x:c r="C148" s="26" t="str">
        <x:v>Уголок 75х5ГОСТ 8509-93 С245 ГОСТ 27772-2015 L=1750</x:v>
      </x:c>
      <x:c r="D148" s="26" t="str">
        <x:v>шт.</x:v>
      </x:c>
      <x:c r="E148" s="83" t="n">
        <x:v>2</x:v>
      </x:c>
      <x:c r="F148" s="84" t="n">
        <x:v>1</x:v>
      </x:c>
      <x:c r="G148" s="83" t="n">
        <x:f>E148*F148</x:f>
        <x:v>2</x:v>
      </x:c>
      <x:c r="H148" s="83" t="n">
        <x:v>10.15</x:v>
      </x:c>
      <x:c r="I148" s="83" t="n">
        <x:f>IF(H148="","",G148*H148)</x:f>
        <x:v>20.3</x:v>
      </x:c>
      <x:c r="J148" s="26" t="str">
        <x:v>Л.36, PDF 37</x:v>
      </x:c>
      <x:c r="K148" s="26" t="str">
        <x:v>Геометрия частичная; контроль по вкладке 07.</x:v>
      </x:c>
    </x:row>
    <x:row r="149" ht="46" customHeight="1">
      <x:c r="A149" s="22" t="str">
        <x:v>МУ 33</x:v>
      </x:c>
      <x:c r="B149" s="22" t="str">
        <x:v>6</x:v>
      </x:c>
      <x:c r="C149" s="22" t="str">
        <x:v>Уголок 75х5ГОСТ 8509-93 С245 ГОСТ 27772-2015 L= 1310</x:v>
      </x:c>
      <x:c r="D149" s="22" t="str">
        <x:v>шт.</x:v>
      </x:c>
      <x:c r="E149" s="85" t="n">
        <x:v>2</x:v>
      </x:c>
      <x:c r="F149" s="86" t="n">
        <x:v>1</x:v>
      </x:c>
      <x:c r="G149" s="85" t="n">
        <x:f>E149*F149</x:f>
        <x:v>2</x:v>
      </x:c>
      <x:c r="H149" s="85" t="n">
        <x:v>7.6</x:v>
      </x:c>
      <x:c r="I149" s="85" t="n">
        <x:f>IF(H149="","",G149*H149)</x:f>
        <x:v>15.2</x:v>
      </x:c>
      <x:c r="J149" s="22" t="str">
        <x:v>Л.36, PDF 37</x:v>
      </x:c>
      <x:c r="K149" s="22" t="str">
        <x:v>Геометрия частичная; контроль по вкладке 07.</x:v>
      </x:c>
    </x:row>
    <x:row r="150" ht="46" customHeight="1">
      <x:c r="A150" s="26" t="str">
        <x:v>МУ 33</x:v>
      </x:c>
      <x:c r="B150" s="26" t="str"/>
      <x:c r="C150" s="26" t="str">
        <x:v>Бетон В 20</x:v>
      </x:c>
      <x:c r="D150" s="26" t="str">
        <x:v>м³</x:v>
      </x:c>
      <x:c r="E150" s="83" t="n">
        <x:v>1.75</x:v>
      </x:c>
      <x:c r="F150" s="84" t="n">
        <x:v>1</x:v>
      </x:c>
      <x:c r="G150" s="83" t="n">
        <x:f>E150*F150</x:f>
        <x:v>1.75</x:v>
      </x:c>
      <x:c r="H150" s="83"/>
      <x:c r="I150" s="83" t="str">
        <x:f>IF(H150="","",G150*H150)</x:f>
      </x:c>
      <x:c r="J150" s="26" t="str">
        <x:v>Л.36, PDF 37</x:v>
      </x:c>
      <x:c r="K150" s="26" t="str">
        <x:v>Исходная строка РД; не масса смонтированной конструкции.</x:v>
      </x:c>
    </x:row>
    <x:row r="151" ht="46" customHeight="1">
      <x:c r="A151" s="22" t="str">
        <x:v>МУ 33</x:v>
      </x:c>
      <x:c r="B151" s="22" t="str"/>
      <x:c r="C151" s="22" t="str">
        <x:v>Профлист Н 75-750-0,8</x:v>
      </x:c>
      <x:c r="D151" s="22" t="str">
        <x:v>м²</x:v>
      </x:c>
      <x:c r="E151" s="85" t="n">
        <x:v>9.81</x:v>
      </x:c>
      <x:c r="F151" s="86" t="n">
        <x:v>1</x:v>
      </x:c>
      <x:c r="G151" s="85" t="n">
        <x:f>E151*F151</x:f>
        <x:v>9.81</x:v>
      </x:c>
      <x:c r="H151" s="85"/>
      <x:c r="I151" s="85" t="str">
        <x:f>IF(H151="","",G151*H151)</x:f>
      </x:c>
      <x:c r="J151" s="22" t="str">
        <x:v>Л.36, PDF 37</x:v>
      </x:c>
      <x:c r="K151" s="22" t="str">
        <x:v>Исходная строка РД; не масса смонтированной конструкции.</x:v>
      </x:c>
    </x:row>
    <x:row r="152" ht="46" customHeight="1">
      <x:c r="A152" s="26" t="str">
        <x:v>МУ 34</x:v>
      </x:c>
      <x:c r="B152" s="26" t="str">
        <x:v>1</x:v>
      </x:c>
      <x:c r="C152" s="26" t="str">
        <x:v>16 - А 500 С , м.п</x:v>
      </x:c>
      <x:c r="D152" s="26" t="str">
        <x:v>п.м</x:v>
      </x:c>
      <x:c r="E152" s="83" t="n">
        <x:v>96.64</x:v>
      </x:c>
      <x:c r="F152" s="84" t="n">
        <x:v>1</x:v>
      </x:c>
      <x:c r="G152" s="83" t="n">
        <x:f>E152*F152</x:f>
        <x:v>96.64</x:v>
      </x:c>
      <x:c r="H152" s="83" t="n">
        <x:v>1.578</x:v>
      </x:c>
      <x:c r="I152" s="83" t="n">
        <x:f>IF(H152="","",G152*H152)</x:f>
        <x:v>152.49792</x:v>
      </x:c>
      <x:c r="J152" s="26" t="str">
        <x:v>Л.37, PDF 38</x:v>
      </x:c>
      <x:c r="K152" s="26" t="str">
        <x:v>Исходная строка РД; не масса смонтированной конструкции.</x:v>
      </x:c>
    </x:row>
    <x:row r="153" ht="46" customHeight="1">
      <x:c r="A153" s="22" t="str">
        <x:v>МУ 34</x:v>
      </x:c>
      <x:c r="B153" s="22" t="str">
        <x:v>2</x:v>
      </x:c>
      <x:c r="C153" s="22" t="str">
        <x:v>12 - А 500 С , м.п</x:v>
      </x:c>
      <x:c r="D153" s="22" t="str">
        <x:v>п.м</x:v>
      </x:c>
      <x:c r="E153" s="85" t="n">
        <x:v>96.64</x:v>
      </x:c>
      <x:c r="F153" s="86" t="n">
        <x:v>1</x:v>
      </x:c>
      <x:c r="G153" s="85" t="n">
        <x:f>E153*F153</x:f>
        <x:v>96.64</x:v>
      </x:c>
      <x:c r="H153" s="85" t="n">
        <x:v>0.888</x:v>
      </x:c>
      <x:c r="I153" s="85" t="n">
        <x:f>IF(H153="","",G153*H153)</x:f>
        <x:v>85.81632</x:v>
      </x:c>
      <x:c r="J153" s="22" t="str">
        <x:v>Л.37, PDF 38</x:v>
      </x:c>
      <x:c r="K153" s="22" t="str">
        <x:v>Исходная строка РД; не масса смонтированной конструкции.</x:v>
      </x:c>
    </x:row>
    <x:row r="154" ht="46" customHeight="1">
      <x:c r="A154" s="26" t="str">
        <x:v>МУ 34</x:v>
      </x:c>
      <x:c r="B154" s="26" t="str">
        <x:v>3</x:v>
      </x:c>
      <x:c r="C154" s="26" t="str">
        <x:v>20- А 500 С , L =1250</x:v>
      </x:c>
      <x:c r="D154" s="26" t="str">
        <x:v>шт.</x:v>
      </x:c>
      <x:c r="E154" s="83" t="n">
        <x:v>14</x:v>
      </x:c>
      <x:c r="F154" s="84" t="n">
        <x:v>1</x:v>
      </x:c>
      <x:c r="G154" s="83" t="n">
        <x:f>E154*F154</x:f>
        <x:v>14</x:v>
      </x:c>
      <x:c r="H154" s="83" t="n">
        <x:v>3.08</x:v>
      </x:c>
      <x:c r="I154" s="83" t="n">
        <x:f>IF(H154="","",G154*H154)</x:f>
        <x:v>43.120000000000005</x:v>
      </x:c>
      <x:c r="J154" s="26" t="str">
        <x:v>Л.37, PDF 38</x:v>
      </x:c>
      <x:c r="K154" s="26" t="str">
        <x:v>Исходная строка РД; не масса смонтированной конструкции.</x:v>
      </x:c>
    </x:row>
    <x:row r="155" ht="46" customHeight="1">
      <x:c r="A155" s="22" t="str">
        <x:v>МУ 34</x:v>
      </x:c>
      <x:c r="B155" s="22" t="str">
        <x:v>П 1</x:v>
      </x:c>
      <x:c r="C155" s="22" t="str">
        <x:v>12- А 500 С , L =1330</x:v>
      </x:c>
      <x:c r="D155" s="22" t="str">
        <x:v>шт.</x:v>
      </x:c>
      <x:c r="E155" s="85" t="n">
        <x:v>76</x:v>
      </x:c>
      <x:c r="F155" s="86" t="n">
        <x:v>1</x:v>
      </x:c>
      <x:c r="G155" s="85" t="n">
        <x:f>E155*F155</x:f>
        <x:v>76</x:v>
      </x:c>
      <x:c r="H155" s="85" t="n">
        <x:v>1.18</x:v>
      </x:c>
      <x:c r="I155" s="85" t="n">
        <x:f>IF(H155="","",G155*H155)</x:f>
        <x:v>89.67999999999999</x:v>
      </x:c>
      <x:c r="J155" s="22" t="str">
        <x:v>Л.37, PDF 38</x:v>
      </x:c>
      <x:c r="K155" s="22" t="str">
        <x:v>Исходная строка РД; не масса смонтированной конструкции.</x:v>
      </x:c>
    </x:row>
    <x:row r="156" ht="46" customHeight="1">
      <x:c r="A156" s="26" t="str">
        <x:v>МУ 34</x:v>
      </x:c>
      <x:c r="B156" s="26" t="str">
        <x:v>Ф 1</x:v>
      </x:c>
      <x:c r="C156" s="26" t="str">
        <x:v>10- А 500 С , L =1030</x:v>
      </x:c>
      <x:c r="D156" s="26" t="str">
        <x:v>шт.</x:v>
      </x:c>
      <x:c r="E156" s="83" t="n">
        <x:v>10</x:v>
      </x:c>
      <x:c r="F156" s="84" t="n">
        <x:v>1</x:v>
      </x:c>
      <x:c r="G156" s="83" t="n">
        <x:f>E156*F156</x:f>
        <x:v>10</x:v>
      </x:c>
      <x:c r="H156" s="83" t="n">
        <x:v>0.64</x:v>
      </x:c>
      <x:c r="I156" s="83" t="n">
        <x:f>IF(H156="","",G156*H156)</x:f>
        <x:v>6.4</x:v>
      </x:c>
      <x:c r="J156" s="26" t="str">
        <x:v>Л.37, PDF 38</x:v>
      </x:c>
      <x:c r="K156" s="26" t="str">
        <x:v>Исходная строка РД; не масса смонтированной конструкции.</x:v>
      </x:c>
    </x:row>
    <x:row r="157" ht="46" customHeight="1">
      <x:c r="A157" s="22" t="str">
        <x:v>МУ 34</x:v>
      </x:c>
      <x:c r="B157" s="22" t="str"/>
      <x:c r="C157" s="22" t="str">
        <x:v>Бетон В 20</x:v>
      </x:c>
      <x:c r="D157" s="22" t="str">
        <x:v>м³</x:v>
      </x:c>
      <x:c r="E157" s="85" t="n">
        <x:v>1.4</x:v>
      </x:c>
      <x:c r="F157" s="86" t="n">
        <x:v>1</x:v>
      </x:c>
      <x:c r="G157" s="85" t="n">
        <x:f>E157*F157</x:f>
        <x:v>1.4</x:v>
      </x:c>
      <x:c r="H157" s="85"/>
      <x:c r="I157" s="85" t="str">
        <x:f>IF(H157="","",G157*H157)</x:f>
      </x:c>
      <x:c r="J157" s="22" t="str">
        <x:v>Л.37, PDF 38</x:v>
      </x:c>
      <x:c r="K157" s="22" t="str">
        <x:v>Исходная строка РД; не масса смонтированной конструкции.</x:v>
      </x:c>
    </x:row>
    <x:row r="158">
      <x:c r="E158" s="87"/>
      <x:c r="F158" s="88"/>
      <x:c r="G158" s="87"/>
      <x:c r="H158" s="87"/>
      <x:c r="I158" s="87"/>
    </x:row>
    <x:row r="159">
      <x:c r="E159" s="87"/>
      <x:c r="F159" s="88"/>
      <x:c r="G159" s="87"/>
      <x:c r="H159" s="87"/>
      <x:c r="I159" s="87"/>
    </x:row>
    <x:row r="160">
      <x:c r="E160" s="87"/>
      <x:c r="F160" s="88"/>
      <x:c r="G160" s="87"/>
      <x:c r="H160" s="87"/>
      <x:c r="I160" s="87"/>
    </x:row>
    <x:row r="161">
      <x:c r="E161" s="87"/>
      <x:c r="F161" s="88"/>
      <x:c r="G161" s="87"/>
      <x:c r="H161" s="87"/>
      <x:c r="I161" s="87"/>
    </x:row>
    <x:row r="162">
      <x:c r="E162" s="87"/>
      <x:c r="F162" s="88"/>
      <x:c r="G162" s="87"/>
      <x:c r="H162" s="87"/>
      <x:c r="I162" s="87"/>
    </x:row>
    <x:row r="163">
      <x:c r="E163" s="87"/>
      <x:c r="F163" s="88"/>
      <x:c r="G163" s="87"/>
      <x:c r="H163" s="87"/>
      <x:c r="I163" s="87"/>
    </x:row>
    <x:row r="164">
      <x:c r="E164" s="87"/>
      <x:c r="F164" s="88"/>
      <x:c r="G164" s="87"/>
      <x:c r="H164" s="87"/>
      <x:c r="I164" s="87"/>
    </x:row>
    <x:row r="165">
      <x:c r="E165" s="87"/>
      <x:c r="F165" s="88"/>
      <x:c r="G165" s="87"/>
      <x:c r="H165" s="87"/>
      <x:c r="I165" s="87"/>
    </x:row>
    <x:row r="166">
      <x:c r="E166" s="87"/>
      <x:c r="F166" s="88"/>
      <x:c r="G166" s="87"/>
      <x:c r="H166" s="87"/>
      <x:c r="I166" s="87"/>
    </x:row>
    <x:row r="167">
      <x:c r="E167" s="87"/>
      <x:c r="F167" s="88"/>
      <x:c r="G167" s="87"/>
      <x:c r="H167" s="87"/>
      <x:c r="I167" s="87"/>
    </x:row>
    <x:row r="168">
      <x:c r="E168" s="87"/>
      <x:c r="F168" s="88"/>
      <x:c r="G168" s="87"/>
      <x:c r="H168" s="87"/>
      <x:c r="I168" s="87"/>
    </x:row>
    <x:row r="169">
      <x:c r="E169" s="87"/>
      <x:c r="F169" s="88"/>
      <x:c r="G169" s="87"/>
      <x:c r="H169" s="87"/>
      <x:c r="I169" s="87"/>
    </x:row>
    <x:row r="170">
      <x:c r="E170" s="87"/>
      <x:c r="F170" s="88"/>
      <x:c r="G170" s="87"/>
      <x:c r="H170" s="87"/>
      <x:c r="I170" s="87"/>
    </x:row>
    <x:row r="171">
      <x:c r="E171" s="87"/>
      <x:c r="F171" s="88"/>
      <x:c r="G171" s="87"/>
      <x:c r="H171" s="87"/>
      <x:c r="I171" s="87"/>
    </x:row>
    <x:row r="172">
      <x:c r="E172" s="87"/>
      <x:c r="F172" s="88"/>
      <x:c r="G172" s="87"/>
      <x:c r="H172" s="87"/>
      <x:c r="I172" s="87"/>
    </x:row>
    <x:row r="173">
      <x:c r="E173" s="87"/>
      <x:c r="F173" s="88"/>
      <x:c r="G173" s="87"/>
      <x:c r="H173" s="87"/>
      <x:c r="I173" s="87"/>
    </x:row>
    <x:row r="174">
      <x:c r="E174" s="87"/>
      <x:c r="F174" s="88"/>
      <x:c r="G174" s="87"/>
      <x:c r="H174" s="87"/>
      <x:c r="I174" s="87"/>
    </x:row>
    <x:row r="175">
      <x:c r="E175" s="87"/>
      <x:c r="F175" s="88"/>
      <x:c r="G175" s="87"/>
      <x:c r="H175" s="87"/>
      <x:c r="I175" s="87"/>
    </x:row>
    <x:row r="176">
      <x:c r="E176" s="87"/>
      <x:c r="F176" s="88"/>
      <x:c r="G176" s="87"/>
      <x:c r="H176" s="87"/>
      <x:c r="I176" s="87"/>
    </x:row>
    <x:row r="177">
      <x:c r="E177" s="87"/>
      <x:c r="F177" s="88"/>
      <x:c r="G177" s="87"/>
      <x:c r="H177" s="87"/>
      <x:c r="I177" s="87"/>
    </x:row>
    <x:row r="178">
      <x:c r="E178" s="87"/>
      <x:c r="F178" s="88"/>
      <x:c r="G178" s="87"/>
      <x:c r="H178" s="87"/>
      <x:c r="I178" s="87"/>
    </x:row>
    <x:row r="179">
      <x:c r="E179" s="87"/>
      <x:c r="F179" s="88"/>
      <x:c r="G179" s="87"/>
      <x:c r="H179" s="87"/>
      <x:c r="I179" s="87"/>
    </x:row>
    <x:row r="180">
      <x:c r="E180" s="87"/>
      <x:c r="F180" s="88"/>
      <x:c r="G180" s="87"/>
      <x:c r="H180" s="87"/>
      <x:c r="I180" s="87"/>
    </x:row>
    <x:row r="181">
      <x:c r="E181" s="87"/>
      <x:c r="F181" s="88"/>
      <x:c r="G181" s="87"/>
      <x:c r="H181" s="87"/>
      <x:c r="I181" s="87"/>
    </x:row>
    <x:row r="182">
      <x:c r="E182" s="87"/>
      <x:c r="F182" s="88"/>
      <x:c r="G182" s="87"/>
      <x:c r="H182" s="87"/>
      <x:c r="I182" s="87"/>
    </x:row>
    <x:row r="183">
      <x:c r="E183" s="87"/>
      <x:c r="F183" s="88"/>
      <x:c r="G183" s="87"/>
      <x:c r="H183" s="87"/>
      <x:c r="I183" s="87"/>
    </x:row>
    <x:row r="184">
      <x:c r="E184" s="87"/>
      <x:c r="F184" s="88"/>
      <x:c r="G184" s="87"/>
      <x:c r="H184" s="87"/>
      <x:c r="I184" s="87"/>
    </x:row>
    <x:row r="185">
      <x:c r="E185" s="87"/>
      <x:c r="F185" s="88"/>
      <x:c r="G185" s="87"/>
      <x:c r="H185" s="87"/>
      <x:c r="I185" s="87"/>
    </x:row>
    <x:row r="186">
      <x:c r="E186" s="87"/>
      <x:c r="F186" s="88"/>
      <x:c r="G186" s="87"/>
      <x:c r="H186" s="87"/>
      <x:c r="I186" s="87"/>
    </x:row>
    <x:row r="187">
      <x:c r="E187" s="87"/>
      <x:c r="F187" s="88"/>
      <x:c r="G187" s="87"/>
      <x:c r="H187" s="87"/>
      <x:c r="I187" s="87"/>
    </x:row>
    <x:row r="188">
      <x:c r="E188" s="87"/>
      <x:c r="F188" s="88"/>
      <x:c r="G188" s="87"/>
      <x:c r="H188" s="87"/>
      <x:c r="I188" s="87"/>
    </x:row>
    <x:row r="189">
      <x:c r="E189" s="87"/>
      <x:c r="F189" s="88"/>
      <x:c r="G189" s="87"/>
      <x:c r="H189" s="87"/>
      <x:c r="I189" s="87"/>
    </x:row>
    <x:row r="190">
      <x:c r="E190" s="87"/>
      <x:c r="F190" s="88"/>
      <x:c r="G190" s="87"/>
      <x:c r="H190" s="87"/>
      <x:c r="I190" s="87"/>
    </x:row>
    <x:row r="191">
      <x:c r="E191" s="87"/>
      <x:c r="F191" s="88"/>
      <x:c r="G191" s="87"/>
      <x:c r="H191" s="87"/>
      <x:c r="I191" s="87"/>
    </x:row>
    <x:row r="192">
      <x:c r="E192" s="87"/>
      <x:c r="F192" s="88"/>
      <x:c r="G192" s="87"/>
      <x:c r="H192" s="87"/>
      <x:c r="I192" s="87"/>
    </x:row>
    <x:row r="193">
      <x:c r="E193" s="87"/>
      <x:c r="F193" s="88"/>
      <x:c r="G193" s="87"/>
      <x:c r="H193" s="87"/>
      <x:c r="I193" s="87"/>
    </x:row>
    <x:row r="194">
      <x:c r="E194" s="87"/>
      <x:c r="F194" s="88"/>
      <x:c r="G194" s="87"/>
      <x:c r="H194" s="87"/>
      <x:c r="I194" s="87"/>
    </x:row>
    <x:row r="195">
      <x:c r="E195" s="87"/>
      <x:c r="F195" s="88"/>
      <x:c r="G195" s="87"/>
      <x:c r="H195" s="87"/>
      <x:c r="I195" s="87"/>
    </x:row>
    <x:row r="196">
      <x:c r="E196" s="87"/>
      <x:c r="F196" s="88"/>
      <x:c r="G196" s="87"/>
      <x:c r="H196" s="87"/>
      <x:c r="I196" s="87"/>
    </x:row>
    <x:row r="197">
      <x:c r="E197" s="87"/>
      <x:c r="F197" s="88"/>
      <x:c r="G197" s="87"/>
      <x:c r="H197" s="87"/>
      <x:c r="I197" s="87"/>
    </x:row>
    <x:row r="198">
      <x:c r="E198" s="87"/>
      <x:c r="F198" s="88"/>
      <x:c r="G198" s="87"/>
      <x:c r="H198" s="87"/>
      <x:c r="I198" s="87"/>
    </x:row>
    <x:row r="199">
      <x:c r="E199" s="87"/>
      <x:c r="F199" s="88"/>
      <x:c r="G199" s="87"/>
      <x:c r="H199" s="87"/>
      <x:c r="I199" s="87"/>
    </x:row>
    <x:row r="200">
      <x:c r="E200" s="87"/>
      <x:c r="F200" s="88"/>
      <x:c r="G200" s="87"/>
      <x:c r="H200" s="87"/>
      <x:c r="I200" s="87"/>
    </x:row>
  </x:sheetData>
  <x:mergeCells>
    <x:mergeCell ref="A1:K2"/>
    <x:mergeCell ref="A3:K3"/>
  </x:mergeCells>
  <x:conditionalFormatting sqref="A6:K157">
    <x:cfRule type="expression" dxfId="2" priority="1">
      <x:formula>AND($A6="МУ 27",$B6="6")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3d3246083345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15" hidden="0" customWidth="1"/>
    <x:col min="4" max="4" width="15" hidden="0" customWidth="1"/>
    <x:col min="5" max="5" width="18" hidden="0" customWidth="1"/>
    <x:col min="6" max="6" width="18" hidden="0" customWidth="1"/>
    <x:col min="7" max="7" width="28" hidden="0" customWidth="1"/>
  </x:cols>
  <x:sheetData>
    <x:row r="1" ht="22" customHeight="1">
      <x:c r="A1" s="95" t="str">
        <x:v>Балка Б1 · состав одной сборки</x:v>
      </x:c>
      <x:c r="B1" s="95"/>
      <x:c r="C1" s="95"/>
      <x:c r="D1" s="95"/>
      <x:c r="E1" s="95"/>
      <x:c r="F1" s="95"/>
      <x:c r="G1" s="95"/>
      <x:c r="H1" s="96"/>
      <x:c r="I1" s="96"/>
      <x:c r="J1" s="96"/>
    </x:row>
    <x:row r="2" ht="22" customHeight="1">
      <x:c r="A2" s="95"/>
      <x:c r="B2" s="95"/>
      <x:c r="C2" s="95"/>
      <x:c r="D2" s="95"/>
      <x:c r="E2" s="95"/>
      <x:c r="F2" s="95"/>
      <x:c r="G2" s="95"/>
      <x:c r="H2" s="96"/>
      <x:c r="I2" s="96"/>
      <x:c r="J2" s="96"/>
    </x:row>
    <x:row r="3" ht="36" customHeight="1">
      <x:c r="A3" s="10" t="str">
        <x:v>Печатные единичные массы РД сохранены. Масса по ним не заменяет взвешивание или уточнённую ведомость металла.</x:v>
      </x:c>
      <x:c r="B3" s="10"/>
      <x:c r="C3" s="10"/>
      <x:c r="D3" s="10"/>
      <x:c r="E3" s="10"/>
      <x:c r="F3" s="10"/>
      <x:c r="G3" s="10"/>
    </x:row>
    <x:row r="5" ht="40" customHeight="1">
      <x:c r="A5" s="16" t="str">
        <x:v>Поз.</x:v>
      </x:c>
      <x:c r="B5" s="16" t="str">
        <x:v>Элемент</x:v>
      </x:c>
      <x:c r="C5" s="16" t="str">
        <x:v>Длина, мм</x:v>
      </x:c>
      <x:c r="D5" s="16" t="str">
        <x:v>На Б1, шт.</x:v>
      </x:c>
      <x:c r="E5" s="16" t="str">
        <x:v>Масса ед., кг</x:v>
      </x:c>
      <x:c r="F5" s="16" t="str">
        <x:v>На Б1, кг</x:v>
      </x:c>
      <x:c r="G5" s="16" t="str">
        <x:v>Источник</x:v>
      </x:c>
    </x:row>
    <x:row r="6" ht="44" customHeight="1">
      <x:c r="A6" s="26" t="str">
        <x:v>1</x:v>
      </x:c>
      <x:c r="B6" s="26" t="str">
        <x:v>Швеллер 27П; сталь С245</x:v>
      </x:c>
      <x:c r="C6" s="26" t="n">
        <x:v>5780</x:v>
      </x:c>
      <x:c r="D6" s="26" t="n">
        <x:v>1</x:v>
      </x:c>
      <x:c r="E6" s="32" t="n">
        <x:v>160</x:v>
      </x:c>
      <x:c r="F6" s="32" t="n">
        <x:f>D6*E6</x:f>
        <x:v>160</x:v>
      </x:c>
      <x:c r="G6" s="26" t="str">
        <x:v>АС.2 л.24, Б1</x:v>
      </x:c>
    </x:row>
    <x:row r="7" ht="44" customHeight="1">
      <x:c r="A7" s="22" t="str">
        <x:v>2</x:v>
      </x:c>
      <x:c r="B7" s="22" t="str">
        <x:v>Уголок 100×8; сталь С245</x:v>
      </x:c>
      <x:c r="C7" s="22" t="n">
        <x:v>5780</x:v>
      </x:c>
      <x:c r="D7" s="22" t="n">
        <x:v>1</x:v>
      </x:c>
      <x:c r="E7" s="33" t="n">
        <x:v>69</x:v>
      </x:c>
      <x:c r="F7" s="33" t="n">
        <x:f>D7*E7</x:f>
        <x:v>69</x:v>
      </x:c>
      <x:c r="G7" s="22" t="str">
        <x:v>АС.2 л.24, Б1</x:v>
      </x:c>
    </x:row>
    <x:row r="8" ht="44" customHeight="1">
      <x:c r="A8" s="26" t="str">
        <x:v>а</x:v>
      </x:c>
      <x:c r="B8" s="26" t="str">
        <x:v>Арматура Ø6 А240</x:v>
      </x:c>
      <x:c r="C8" s="26" t="n">
        <x:v>110</x:v>
      </x:c>
      <x:c r="D8" s="26" t="n">
        <x:v>12</x:v>
      </x:c>
      <x:c r="E8" s="32" t="n">
        <x:v>0.02</x:v>
      </x:c>
      <x:c r="F8" s="32" t="n">
        <x:f>D8*E8</x:f>
        <x:v>0.24</x:v>
      </x:c>
      <x:c r="G8" s="26" t="str">
        <x:v>АС.2 л.24, Б1</x:v>
      </x:c>
    </x:row>
    <x:row r="9" ht="44" customHeight="1">
      <x:c r="A9" s="22" t="str">
        <x:v>б</x:v>
      </x:c>
      <x:c r="B9" s="22" t="str">
        <x:v>Арматура Ø6 А240</x:v>
      </x:c>
      <x:c r="C9" s="22" t="n">
        <x:v>200</x:v>
      </x:c>
      <x:c r="D9" s="22" t="n">
        <x:v>12</x:v>
      </x:c>
      <x:c r="E9" s="33" t="n">
        <x:v>0.04</x:v>
      </x:c>
      <x:c r="F9" s="33" t="n">
        <x:f>D9*E9</x:f>
        <x:v>0.48</x:v>
      </x:c>
      <x:c r="G9" s="22" t="str">
        <x:v>АС.2 л.24, Б1</x:v>
      </x:c>
    </x:row>
    <x:row r="10">
      <x:c r="E10" s="40"/>
      <x:c r="F10" s="40"/>
    </x:row>
    <x:row r="11">
      <x:c r="B11" t="str">
        <x:v>Масса одной Б1 по печатным массам</x:v>
      </x:c>
      <x:c r="E11" s="40"/>
      <x:c r="F11" s="40" t="n">
        <x:f>SUM(F6:F9)</x:f>
        <x:v>229.72</x:v>
      </x:c>
    </x:row>
    <x:row r="14">
      <x:c r="A14" s="38" t="str">
        <x:v>Группа</x:v>
      </x:c>
      <x:c r="B14" s="38" t="str">
        <x:v>Б1, шт.</x:v>
      </x:c>
      <x:c r="C14" s="38" t="str">
        <x:v>Масса, кг</x:v>
      </x:c>
      <x:c r="D14" s="38" t="str">
        <x:v>Расчёт</x:v>
      </x:c>
    </x:row>
    <x:row r="15" ht="44" customHeight="1">
      <x:c r="A15" s="36" t="str">
        <x:v>Схема л.20</x:v>
      </x:c>
      <x:c r="B15" s="36" t="n">
        <x:f>SUMIF('01_Реестр_МУ'!$B$6:$B$53,20,'01_Реестр_МУ'!$E$6:$E$53)</x:f>
        <x:v>34</x:v>
      </x:c>
      <x:c r="C15" s="42" t="n">
        <x:f>B15*$F$11</x:f>
        <x:v>7810.48</x:v>
      </x:c>
      <x:c r="D15" s="36" t="str">
        <x:v>Б1 × масса одной сборки</x:v>
      </x:c>
    </x:row>
    <x:row r="16" ht="44" customHeight="1">
      <x:c r="A16" s="36" t="str">
        <x:v>Схема л.21</x:v>
      </x:c>
      <x:c r="B16" s="36" t="n">
        <x:f>SUMIF('01_Реестр_МУ'!$B$6:$B$53,21,'01_Реестр_МУ'!$E$6:$E$53)</x:f>
        <x:v>34</x:v>
      </x:c>
      <x:c r="C16" s="42" t="n">
        <x:f>B16*$F$11</x:f>
        <x:v>7810.48</x:v>
      </x:c>
      <x:c r="D16" s="36" t="str">
        <x:v>Б1 × масса одной сборки</x:v>
      </x:c>
    </x:row>
    <x:row r="17" ht="44" customHeight="1">
      <x:c r="A17" s="36" t="str">
        <x:v>Итого</x:v>
      </x:c>
      <x:c r="B17" s="36" t="n">
        <x:f>SUM(B15:B16)</x:f>
        <x:v>68</x:v>
      </x:c>
      <x:c r="C17" s="42" t="n">
        <x:f>SUM(C15:C16)</x:f>
        <x:v>15620.96</x:v>
      </x:c>
      <x:c r="D17" s="36" t="str">
        <x:v>Без уголков обрамления, профлиста и арматуры МУ</x:v>
      </x:c>
    </x:row>
  </x:sheetData>
  <x:mergeCells>
    <x:mergeCell ref="A1:G2"/>
    <x:mergeCell ref="A3:G3"/>
    <x:mergeCell ref="B11:E11"/>
  </x:mergeCells>
  <x:pageMargins left="0.7" right="0.7" top="0.75" bottom="0.75" header="0.3" footer="0.3"/>
  <x:tableParts count="1">
    <x:tablePart xmlns:r="http://schemas.openxmlformats.org/officeDocument/2006/relationships" r:id="R370110b9c7b54f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0" hidden="0" customWidth="1"/>
    <x:col min="3" max="3" width="40" hidden="0" customWidth="1"/>
    <x:col min="4" max="4" width="9" hidden="0" customWidth="1"/>
    <x:col min="5" max="5" width="15" hidden="0" customWidth="1"/>
    <x:col min="6" max="6" width="25" hidden="0" customWidth="1"/>
    <x:col min="7" max="7" width="40" hidden="0" customWidth="1"/>
  </x:cols>
  <x:sheetData>
    <x:row r="1" ht="22" customHeight="1">
      <x:c r="A1" s="95" t="str">
        <x:v>ВОР · межэтажные перекрытия</x:v>
      </x:c>
      <x:c r="B1" s="95"/>
      <x:c r="C1" s="95"/>
      <x:c r="D1" s="95"/>
      <x:c r="E1" s="95"/>
      <x:c r="F1" s="95"/>
      <x:c r="G1" s="95"/>
      <x:c r="H1" s="96"/>
      <x:c r="I1" s="96"/>
      <x:c r="J1" s="96"/>
    </x:row>
    <x:row r="2" ht="22" customHeight="1">
      <x:c r="A2" s="95"/>
      <x:c r="B2" s="95"/>
      <x:c r="C2" s="95"/>
      <x:c r="D2" s="95"/>
      <x:c r="E2" s="95"/>
      <x:c r="F2" s="95"/>
      <x:c r="G2" s="95"/>
      <x:c r="H2" s="96"/>
      <x:c r="I2" s="96"/>
      <x:c r="J2" s="96"/>
    </x:row>
    <x:row r="3" ht="36" customHeight="1">
      <x:c r="A3" s="10" t="str">
        <x:v>РД и расчёт по размещённым МУ разделены. Пустая ячейка = объём не определён, а не нулевая работа.</x:v>
      </x:c>
      <x:c r="B3" s="10"/>
      <x:c r="C3" s="10"/>
      <x:c r="D3" s="10"/>
      <x:c r="E3" s="10"/>
      <x:c r="F3" s="10"/>
      <x:c r="G3" s="10"/>
    </x:row>
    <x:row r="5" ht="40" customHeight="1">
      <x:c r="A5" s="16" t="str">
        <x:v>Участок</x:v>
      </x:c>
      <x:c r="B5" s="16" t="str">
        <x:v>Схема</x:v>
      </x:c>
      <x:c r="C5" s="16" t="str">
        <x:v>Работа</x:v>
      </x:c>
      <x:c r="D5" s="16" t="str">
        <x:v>Ед.</x:v>
      </x:c>
      <x:c r="E5" s="16" t="str">
        <x:v>Количество</x:v>
      </x:c>
      <x:c r="F5" s="16" t="str">
        <x:v>Источник</x:v>
      </x:c>
      <x:c r="G5" s="16" t="str">
        <x:v>Граница объёма / пояснение</x:v>
      </x:c>
    </x:row>
    <x:row r="6" ht="55" customHeight="1">
      <x:c r="A6" s="26" t="str">
        <x:v>1–2 этажи</x:v>
      </x:c>
      <x:c r="B6" s="26" t="n">
        <x:v>20</x:v>
      </x:c>
      <x:c r="C6" s="26" t="str">
        <x:v>Демонтаж плит перекрытия</x:v>
      </x:c>
      <x:c r="D6" s="26" t="str">
        <x:v>м²</x:v>
      </x:c>
      <x:c r="E6" s="32" t="n">
        <x:v>217.2</x:v>
      </x:c>
      <x:c r="F6" s="26" t="str">
        <x:v>АС.2 л.4</x:v>
      </x:c>
      <x:c r="G6" s="26" t="str">
        <x:v>Вся ведомость этажа, не только МУ и не только новые зоны R05.</x:v>
      </x:c>
    </x:row>
    <x:row r="7" ht="55" customHeight="1">
      <x:c r="A7" s="22" t="str">
        <x:v>1–2 этажи</x:v>
      </x:c>
      <x:c r="B7" s="22" t="n">
        <x:v>20</x:v>
      </x:c>
      <x:c r="C7" s="22" t="str">
        <x:v>Распил плит перекрытия</x:v>
      </x:c>
      <x:c r="D7" s="22" t="str">
        <x:v>п.м</x:v>
      </x:c>
      <x:c r="E7" s="33" t="n">
        <x:v>27.8</x:v>
      </x:c>
      <x:c r="F7" s="22" t="str">
        <x:v>АС.2 л.4</x:v>
      </x:c>
      <x:c r="G7" s="22" t="str">
        <x:v>Вся ведомость этажа; не карта резки и не ППР.</x:v>
      </x:c>
    </x:row>
    <x:row r="8" ht="55" customHeight="1">
      <x:c r="A8" s="26" t="str">
        <x:v>1–2 этажи</x:v>
      </x:c>
      <x:c r="B8" s="26" t="n">
        <x:v>20</x:v>
      </x:c>
      <x:c r="C8" s="26" t="str">
        <x:v>Устройство МУ: бетон В20</x:v>
      </x:c>
      <x:c r="D8" s="26" t="str">
        <x:v>м³</x:v>
      </x:c>
      <x:c r="E8" s="32" t="n">
        <x:f>SUMIF('01_Реестр_МУ'!$B$6:$B$53,20,'01_Реестр_МУ'!$F$6:$F$53)</x:f>
        <x:v>33.010000000000005</x:v>
      </x:c>
      <x:c r="F8" s="26" t="str">
        <x:v>АС.2 л.20;23–37</x:v>
      </x:c>
      <x:c r="G8" s="26" t="str">
        <x:v>Сумма расхода РД для размещённых на схеме МУ. Без Л-1/кровли.</x:v>
      </x:c>
    </x:row>
    <x:row r="9" ht="55" customHeight="1">
      <x:c r="A9" s="22" t="str">
        <x:v>1–2 этажи</x:v>
      </x:c>
      <x:c r="B9" s="22" t="n">
        <x:v>20</x:v>
      </x:c>
      <x:c r="C9" s="22" t="str">
        <x:v>Монтаж балок Б1</x:v>
      </x:c>
      <x:c r="D9" s="22" t="str">
        <x:v>шт.</x:v>
      </x:c>
      <x:c r="E9" s="33" t="n">
        <x:f>SUMIF('01_Реестр_МУ'!$B$6:$B$53,20,'01_Реестр_МУ'!$E$6:$E$53)</x:f>
        <x:v>34</x:v>
      </x:c>
      <x:c r="F9" s="22" t="str">
        <x:v>АС.2 л.20;24–37</x:v>
      </x:c>
      <x:c r="G9" s="22" t="str">
        <x:v>Парные Б1 по деталям. Отдельная масса на вкладке 04.</x:v>
      </x:c>
    </x:row>
    <x:row r="10" ht="55" customHeight="1">
      <x:c r="A10" s="26" t="str">
        <x:v>1–2 этажи</x:v>
      </x:c>
      <x:c r="B10" s="26" t="n">
        <x:v>20</x:v>
      </x:c>
      <x:c r="C10" s="26" t="str">
        <x:v>Устройство несъёмной опалубки Н75-750-0,8</x:v>
      </x:c>
      <x:c r="D10" s="26" t="str">
        <x:v>м²</x:v>
      </x:c>
      <x:c r="E10" s="32" t="n">
        <x:f>SUMIF('01_Реестр_МУ'!$B$6:$B$53,20,'01_Реестр_МУ'!$G$6:$G$53)</x:f>
        <x:v>161.9</x:v>
      </x:c>
      <x:c r="F10" s="26" t="str">
        <x:v>АС.2 л.24–37</x:v>
      </x:c>
      <x:c r="G10" s="26" t="str">
        <x:v>Сумма площадей по РД. Не геометрическая площадь модели и не заказной раскрой.</x:v>
      </x:c>
    </x:row>
    <x:row r="11" ht="55" customHeight="1">
      <x:c r="A11" s="22" t="str">
        <x:v>1–2 этажи</x:v>
      </x:c>
      <x:c r="B11" s="22" t="n">
        <x:v>20</x:v>
      </x:c>
      <x:c r="C11" s="22" t="str">
        <x:v>Очистка плит перекрытия от отделочного слоя</x:v>
      </x:c>
      <x:c r="D11" s="22" t="str">
        <x:v>м²</x:v>
      </x:c>
      <x:c r="E11" s="33" t="n">
        <x:v>32.1</x:v>
      </x:c>
      <x:c r="F11" s="22" t="str">
        <x:v>АС.2 л.8, таблица</x:v>
      </x:c>
      <x:c r="G11" s="22" t="str">
        <x:v>Исходные объёмы по таблице, визуально сверены. Не измерены по маркерам дефектов 3D.</x:v>
      </x:c>
    </x:row>
    <x:row r="12" ht="55" customHeight="1">
      <x:c r="A12" s="26" t="str">
        <x:v>1–2 этажи</x:v>
      </x:c>
      <x:c r="B12" s="26" t="n">
        <x:v>20</x:v>
      </x:c>
      <x:c r="C12" s="26" t="str">
        <x:v>Очистка оголённой арматуры плит от продуктов коррозии</x:v>
      </x:c>
      <x:c r="D12" s="26" t="str">
        <x:v>м²</x:v>
      </x:c>
      <x:c r="E12" s="32" t="n">
        <x:v>73.9</x:v>
      </x:c>
      <x:c r="F12" s="26" t="str">
        <x:v>АС.2 л.8, таблица</x:v>
      </x:c>
      <x:c r="G12" s="26" t="str">
        <x:v>Исходные объёмы по таблице, визуально сверены. Не измерены по маркерам дефектов 3D.</x:v>
      </x:c>
    </x:row>
    <x:row r="13" ht="55" customHeight="1">
      <x:c r="A13" s="22" t="str">
        <x:v>1–2 этажи</x:v>
      </x:c>
      <x:c r="B13" s="22" t="n">
        <x:v>20</x:v>
      </x:c>
      <x:c r="C13" s="22" t="str">
        <x:v>Очистка плит перекрытий от биопоражения</x:v>
      </x:c>
      <x:c r="D13" s="22" t="str">
        <x:v>м²</x:v>
      </x:c>
      <x:c r="E13" s="33" t="n">
        <x:v>93.7</x:v>
      </x:c>
      <x:c r="F13" s="22" t="str">
        <x:v>АС.2 л.8, таблица</x:v>
      </x:c>
      <x:c r="G13" s="22" t="str">
        <x:v>Исходные объёмы по таблице, визуально сверены. Не измерены по маркерам дефектов 3D.</x:v>
      </x:c>
    </x:row>
    <x:row r="14" ht="55" customHeight="1">
      <x:c r="A14" s="26" t="str">
        <x:v>1–2 этажи</x:v>
      </x:c>
      <x:c r="B14" s="26" t="n">
        <x:v>20</x:v>
      </x:c>
      <x:c r="C14" s="26" t="str">
        <x:v>Просушка плиты перекрытия</x:v>
      </x:c>
      <x:c r="D14" s="26" t="str">
        <x:v>м²</x:v>
      </x:c>
      <x:c r="E14" s="32" t="n">
        <x:v>98.3</x:v>
      </x:c>
      <x:c r="F14" s="26" t="str">
        <x:v>АС.2 л.8, таблица</x:v>
      </x:c>
      <x:c r="G14" s="26" t="str">
        <x:v>Исходные объёмы по таблице, визуально сверены. Не измерены по маркерам дефектов 3D.</x:v>
      </x:c>
    </x:row>
    <x:row r="15" ht="55" customHeight="1">
      <x:c r="A15" s="22" t="str">
        <x:v>1–2 этажи</x:v>
      </x:c>
      <x:c r="B15" s="22" t="n">
        <x:v>20</x:v>
      </x:c>
      <x:c r="C15" s="22" t="str">
        <x:v>Защита оголённой арматуры антикоррозионной грунтовкой</x:v>
      </x:c>
      <x:c r="D15" s="22" t="str">
        <x:v>м²</x:v>
      </x:c>
      <x:c r="E15" s="33" t="n">
        <x:v>81.1</x:v>
      </x:c>
      <x:c r="F15" s="22" t="str">
        <x:v>АС.2 л.8, таблица</x:v>
      </x:c>
      <x:c r="G15" s="22" t="str">
        <x:v>Исходные объёмы по таблице, визуально сверены. Не измерены по маркерам дефектов 3D.</x:v>
      </x:c>
    </x:row>
    <x:row r="16" ht="55" customHeight="1">
      <x:c r="A16" s="26" t="str">
        <x:v>1–2 этажи</x:v>
      </x:c>
      <x:c r="B16" s="26" t="n">
        <x:v>20</x:v>
      </x:c>
      <x:c r="C16" s="26" t="str">
        <x:v>Обработка плит биоцидным составом: ПЕТРОМИКС BS-01 или аналог</x:v>
      </x:c>
      <x:c r="D16" s="26" t="str">
        <x:v>м²</x:v>
      </x:c>
      <x:c r="E16" s="32" t="n">
        <x:v>99.7</x:v>
      </x:c>
      <x:c r="F16" s="26" t="str">
        <x:v>АС.2 л.8, таблица</x:v>
      </x:c>
      <x:c r="G16" s="26" t="str">
        <x:v>Исходные объёмы по таблице, визуально сверены. Не измерены по маркерам дефектов 3D.</x:v>
      </x:c>
    </x:row>
    <x:row r="17" ht="55" customHeight="1">
      <x:c r="A17" s="22" t="str">
        <x:v>1–2 этажи</x:v>
      </x:c>
      <x:c r="B17" s="22" t="n">
        <x:v>20</x:v>
      </x:c>
      <x:c r="C17" s="22" t="str">
        <x:v>Обработка плит гидрофобным составом: CERESIT CT-13 или аналог</x:v>
      </x:c>
      <x:c r="D17" s="22" t="str">
        <x:v>м²</x:v>
      </x:c>
      <x:c r="E17" s="33" t="n">
        <x:v>98.1</x:v>
      </x:c>
      <x:c r="F17" s="22" t="str">
        <x:v>АС.2 л.8, таблица</x:v>
      </x:c>
      <x:c r="G17" s="22" t="str">
        <x:v>Исходные объёмы по таблице, визуально сверены. Не измерены по маркерам дефектов 3D.</x:v>
      </x:c>
    </x:row>
    <x:row r="18" ht="55" customHeight="1">
      <x:c r="A18" s="26" t="str">
        <x:v>1–2 этажи</x:v>
      </x:c>
      <x:c r="B18" s="26" t="n">
        <x:v>20</x:v>
      </x:c>
      <x:c r="C18" s="26" t="str">
        <x:v>Восстановление защитного слоя бетона, t слоя не более 30 мм</x:v>
      </x:c>
      <x:c r="D18" s="26" t="str">
        <x:v>м²</x:v>
      </x:c>
      <x:c r="E18" s="32" t="n">
        <x:v>40</x:v>
      </x:c>
      <x:c r="F18" s="26" t="str">
        <x:v>АС.2 л.8, таблица</x:v>
      </x:c>
      <x:c r="G18" s="26" t="str">
        <x:v>Исходные объёмы по таблице, визуально сверены. Не измерены по маркерам дефектов 3D.</x:v>
      </x:c>
    </x:row>
    <x:row r="19" ht="55" customHeight="1">
      <x:c r="A19" s="44" t="str">
        <x:v>1–2 этажи</x:v>
      </x:c>
      <x:c r="B19" s="44" t="n">
        <x:v>20</x:v>
      </x:c>
      <x:c r="C19" s="44" t="str">
        <x:v>Временное раскрепление/подпирание перекрытия</x:v>
      </x:c>
      <x:c r="D19" s="44" t="str">
        <x:v>компл.</x:v>
      </x:c>
      <x:c r="E19" s="46"/>
      <x:c r="F19" s="44" t="str">
        <x:v>ППР требуется</x:v>
      </x:c>
      <x:c r="G19" s="44" t="str">
        <x:v>Объём не назначен: схема временных опор не является частью текущей 3D-модели.</x:v>
      </x:c>
    </x:row>
    <x:row r="20" ht="55" customHeight="1">
      <x:c r="A20" s="44" t="str">
        <x:v>1–2 этажи</x:v>
      </x:c>
      <x:c r="B20" s="44" t="n">
        <x:v>20</x:v>
      </x:c>
      <x:c r="C20" s="44" t="str">
        <x:v>Антикоррозионная подготовка/огнезащита открытых Б1 до REI45</x:v>
      </x:c>
      <x:c r="D20" s="44" t="str">
        <x:v>м²</x:v>
      </x:c>
      <x:c r="E20" s="46"/>
      <x:c r="F20" s="44" t="str">
        <x:v>АС.2 л.24, примечания</x:v>
      </x:c>
      <x:c r="G20" s="44" t="str">
        <x:v>Площадь и выбранная система не определены этим выпуском. Не подставлять площадь габаритных прямоугольников.</x:v>
      </x:c>
    </x:row>
    <x:row r="21" ht="55" customHeight="1">
      <x:c r="A21" s="44" t="str">
        <x:v>1–2 этажи</x:v>
      </x:c>
      <x:c r="B21" s="44" t="n">
        <x:v>20</x:v>
      </x:c>
      <x:c r="C21" s="44" t="str">
        <x:v>Армирование МУ и обрамление отверстий</x:v>
      </x:c>
      <x:c r="D21" s="44" t="str">
        <x:v>компл.</x:v>
      </x:c>
      <x:c r="E21" s="46"/>
      <x:c r="F21" s="44" t="str">
        <x:v>АС.2 л.23–37,39</x:v>
      </x:c>
      <x:c r="G21" s="44" t="str">
        <x:v>Поштучные исходные позиции даны в спецификациях; сводную массу с неразрешёнными строками не назначали.</x:v>
      </x:c>
    </x:row>
    <x:row r="22" ht="55" customHeight="1">
      <x:c r="A22" s="26" t="str">
        <x:v>2–3 этажи</x:v>
      </x:c>
      <x:c r="B22" s="26" t="n">
        <x:v>21</x:v>
      </x:c>
      <x:c r="C22" s="26" t="str">
        <x:v>Демонтаж плит перекрытия</x:v>
      </x:c>
      <x:c r="D22" s="26" t="str">
        <x:v>м²</x:v>
      </x:c>
      <x:c r="E22" s="32" t="n">
        <x:v>201.82</x:v>
      </x:c>
      <x:c r="F22" s="26" t="str">
        <x:v>АС.2 л.5</x:v>
      </x:c>
      <x:c r="G22" s="26" t="str">
        <x:v>Вся ведомость этажа, не только МУ и не только новые зоны R05.</x:v>
      </x:c>
    </x:row>
    <x:row r="23" ht="55" customHeight="1">
      <x:c r="A23" s="22" t="str">
        <x:v>2–3 этажи</x:v>
      </x:c>
      <x:c r="B23" s="22" t="n">
        <x:v>21</x:v>
      </x:c>
      <x:c r="C23" s="22" t="str">
        <x:v>Распил плит перекрытия</x:v>
      </x:c>
      <x:c r="D23" s="22" t="str">
        <x:v>п.м</x:v>
      </x:c>
      <x:c r="E23" s="33" t="n">
        <x:v>27.8</x:v>
      </x:c>
      <x:c r="F23" s="22" t="str">
        <x:v>АС.2 л.5</x:v>
      </x:c>
      <x:c r="G23" s="22" t="str">
        <x:v>Вся ведомость этажа; не карта резки и не ППР.</x:v>
      </x:c>
    </x:row>
    <x:row r="24" ht="55" customHeight="1">
      <x:c r="A24" s="26" t="str">
        <x:v>2–3 этажи</x:v>
      </x:c>
      <x:c r="B24" s="26" t="n">
        <x:v>21</x:v>
      </x:c>
      <x:c r="C24" s="26" t="str">
        <x:v>Устройство МУ: бетон В20</x:v>
      </x:c>
      <x:c r="D24" s="26" t="str">
        <x:v>м³</x:v>
      </x:c>
      <x:c r="E24" s="32" t="n">
        <x:f>SUMIF('01_Реестр_МУ'!$B$6:$B$53,21,'01_Реестр_МУ'!$F$6:$F$53)</x:f>
        <x:v>35.23</x:v>
      </x:c>
      <x:c r="F24" s="26" t="str">
        <x:v>АС.2 л.21;23–37</x:v>
      </x:c>
      <x:c r="G24" s="26" t="str">
        <x:v>Сумма расхода РД для размещённых на схеме МУ. Без Л-1/кровли.</x:v>
      </x:c>
    </x:row>
    <x:row r="25" ht="55" customHeight="1">
      <x:c r="A25" s="22" t="str">
        <x:v>2–3 этажи</x:v>
      </x:c>
      <x:c r="B25" s="22" t="n">
        <x:v>21</x:v>
      </x:c>
      <x:c r="C25" s="22" t="str">
        <x:v>Монтаж балок Б1</x:v>
      </x:c>
      <x:c r="D25" s="22" t="str">
        <x:v>шт.</x:v>
      </x:c>
      <x:c r="E25" s="33" t="n">
        <x:f>SUMIF('01_Реестр_МУ'!$B$6:$B$53,21,'01_Реестр_МУ'!$E$6:$E$53)</x:f>
        <x:v>34</x:v>
      </x:c>
      <x:c r="F25" s="22" t="str">
        <x:v>АС.2 л.21;24–37</x:v>
      </x:c>
      <x:c r="G25" s="22" t="str">
        <x:v>Парные Б1 по деталям. Отдельная масса на вкладке 04.</x:v>
      </x:c>
    </x:row>
    <x:row r="26" ht="55" customHeight="1">
      <x:c r="A26" s="26" t="str">
        <x:v>2–3 этажи</x:v>
      </x:c>
      <x:c r="B26" s="26" t="n">
        <x:v>21</x:v>
      </x:c>
      <x:c r="C26" s="26" t="str">
        <x:v>Устройство несъёмной опалубки Н75-750-0,8</x:v>
      </x:c>
      <x:c r="D26" s="26" t="str">
        <x:v>м²</x:v>
      </x:c>
      <x:c r="E26" s="32" t="n">
        <x:f>SUMIF('01_Реестр_МУ'!$B$6:$B$53,21,'01_Реестр_МУ'!$G$6:$G$53)</x:f>
        <x:v>161.20999999999998</x:v>
      </x:c>
      <x:c r="F26" s="26" t="str">
        <x:v>АС.2 л.24–37</x:v>
      </x:c>
      <x:c r="G26" s="26" t="str">
        <x:v>Сумма площадей по РД. Не геометрическая площадь модели и не заказной раскрой.</x:v>
      </x:c>
    </x:row>
    <x:row r="27" ht="55" customHeight="1">
      <x:c r="A27" s="22" t="str">
        <x:v>2–3 этажи</x:v>
      </x:c>
      <x:c r="B27" s="22" t="n">
        <x:v>21</x:v>
      </x:c>
      <x:c r="C27" s="22" t="str">
        <x:v>Очистка плит перекрытия от отделочного слоя</x:v>
      </x:c>
      <x:c r="D27" s="22" t="str">
        <x:v>м²</x:v>
      </x:c>
      <x:c r="E27" s="33" t="n">
        <x:v>51.2</x:v>
      </x:c>
      <x:c r="F27" s="22" t="str">
        <x:v>АС.2 л.9, таблица</x:v>
      </x:c>
      <x:c r="G27" s="22" t="str">
        <x:v>Исходные объёмы по таблице, визуально сверены. Не измерены по маркерам дефектов 3D.</x:v>
      </x:c>
    </x:row>
    <x:row r="28" ht="55" customHeight="1">
      <x:c r="A28" s="26" t="str">
        <x:v>2–3 этажи</x:v>
      </x:c>
      <x:c r="B28" s="26" t="n">
        <x:v>21</x:v>
      </x:c>
      <x:c r="C28" s="26" t="str">
        <x:v>Очистка оголённой арматуры плит от продуктов коррозии</x:v>
      </x:c>
      <x:c r="D28" s="26" t="str">
        <x:v>м²</x:v>
      </x:c>
      <x:c r="E28" s="32" t="n">
        <x:v>56.1</x:v>
      </x:c>
      <x:c r="F28" s="26" t="str">
        <x:v>АС.2 л.9, таблица</x:v>
      </x:c>
      <x:c r="G28" s="26" t="str">
        <x:v>Исходные объёмы по таблице, визуально сверены. Не измерены по маркерам дефектов 3D.</x:v>
      </x:c>
    </x:row>
    <x:row r="29" ht="55" customHeight="1">
      <x:c r="A29" s="22" t="str">
        <x:v>2–3 этажи</x:v>
      </x:c>
      <x:c r="B29" s="22" t="n">
        <x:v>21</x:v>
      </x:c>
      <x:c r="C29" s="22" t="str">
        <x:v>Очистка плит перекрытий от биопоражения</x:v>
      </x:c>
      <x:c r="D29" s="22" t="str">
        <x:v>м²</x:v>
      </x:c>
      <x:c r="E29" s="33" t="n">
        <x:v>146.2</x:v>
      </x:c>
      <x:c r="F29" s="22" t="str">
        <x:v>АС.2 л.9, таблица</x:v>
      </x:c>
      <x:c r="G29" s="22" t="str">
        <x:v>Исходные объёмы по таблице, визуально сверены. Не измерены по маркерам дефектов 3D.</x:v>
      </x:c>
    </x:row>
    <x:row r="30" ht="55" customHeight="1">
      <x:c r="A30" s="26" t="str">
        <x:v>2–3 этажи</x:v>
      </x:c>
      <x:c r="B30" s="26" t="n">
        <x:v>21</x:v>
      </x:c>
      <x:c r="C30" s="26" t="str">
        <x:v>Просушка плиты перекрытия</x:v>
      </x:c>
      <x:c r="D30" s="26" t="str">
        <x:v>м²</x:v>
      </x:c>
      <x:c r="E30" s="32" t="n">
        <x:v>147.8</x:v>
      </x:c>
      <x:c r="F30" s="26" t="str">
        <x:v>АС.2 л.9, таблица</x:v>
      </x:c>
      <x:c r="G30" s="26" t="str">
        <x:v>Исходные объёмы по таблице, визуально сверены. Не измерены по маркерам дефектов 3D.</x:v>
      </x:c>
    </x:row>
    <x:row r="31" ht="55" customHeight="1">
      <x:c r="A31" s="22" t="str">
        <x:v>2–3 этажи</x:v>
      </x:c>
      <x:c r="B31" s="22" t="n">
        <x:v>21</x:v>
      </x:c>
      <x:c r="C31" s="22" t="str">
        <x:v>Защита оголённой арматуры антикоррозионной грунтовкой</x:v>
      </x:c>
      <x:c r="D31" s="22" t="str">
        <x:v>м²</x:v>
      </x:c>
      <x:c r="E31" s="33" t="n">
        <x:v>51.3</x:v>
      </x:c>
      <x:c r="F31" s="22" t="str">
        <x:v>АС.2 л.9, таблица</x:v>
      </x:c>
      <x:c r="G31" s="22" t="str">
        <x:v>Исходные объёмы по таблице, визуально сверены. Не измерены по маркерам дефектов 3D.</x:v>
      </x:c>
    </x:row>
    <x:row r="32" ht="55" customHeight="1">
      <x:c r="A32" s="26" t="str">
        <x:v>2–3 этажи</x:v>
      </x:c>
      <x:c r="B32" s="26" t="n">
        <x:v>21</x:v>
      </x:c>
      <x:c r="C32" s="26" t="str">
        <x:v>Обработка плит биоцидным составом: ПЕТРОМИКС BS-01 или аналог</x:v>
      </x:c>
      <x:c r="D32" s="26" t="str">
        <x:v>м²</x:v>
      </x:c>
      <x:c r="E32" s="32" t="n">
        <x:v>152.3</x:v>
      </x:c>
      <x:c r="F32" s="26" t="str">
        <x:v>АС.2 л.9, таблица</x:v>
      </x:c>
      <x:c r="G32" s="26" t="str">
        <x:v>Исходные объёмы по таблице, визуально сверены. Не измерены по маркерам дефектов 3D.</x:v>
      </x:c>
    </x:row>
    <x:row r="33" ht="55" customHeight="1">
      <x:c r="A33" s="22" t="str">
        <x:v>2–3 этажи</x:v>
      </x:c>
      <x:c r="B33" s="22" t="n">
        <x:v>21</x:v>
      </x:c>
      <x:c r="C33" s="22" t="str">
        <x:v>Обработка плит гидрофобным составом: CERESIT CT-13 или аналог</x:v>
      </x:c>
      <x:c r="D33" s="22" t="str">
        <x:v>м²</x:v>
      </x:c>
      <x:c r="E33" s="33" t="n">
        <x:v>137.9</x:v>
      </x:c>
      <x:c r="F33" s="22" t="str">
        <x:v>АС.2 л.9, таблица</x:v>
      </x:c>
      <x:c r="G33" s="22" t="str">
        <x:v>Исходные объёмы по таблице, визуально сверены. Не измерены по маркерам дефектов 3D.</x:v>
      </x:c>
    </x:row>
    <x:row r="34" ht="55" customHeight="1">
      <x:c r="A34" s="26" t="str">
        <x:v>2–3 этажи</x:v>
      </x:c>
      <x:c r="B34" s="26" t="n">
        <x:v>21</x:v>
      </x:c>
      <x:c r="C34" s="26" t="str">
        <x:v>Восстановление защитного слоя бетона, t слоя не более 30 мм</x:v>
      </x:c>
      <x:c r="D34" s="26" t="str">
        <x:v>м²</x:v>
      </x:c>
      <x:c r="E34" s="32" t="n">
        <x:v>45.35</x:v>
      </x:c>
      <x:c r="F34" s="26" t="str">
        <x:v>АС.2 л.9, таблица</x:v>
      </x:c>
      <x:c r="G34" s="26" t="str">
        <x:v>Исходные объёмы по таблице, визуально сверены. Не измерены по маркерам дефектов 3D.</x:v>
      </x:c>
    </x:row>
    <x:row r="35" ht="55" customHeight="1">
      <x:c r="A35" s="44" t="str">
        <x:v>2–3 этажи</x:v>
      </x:c>
      <x:c r="B35" s="44" t="n">
        <x:v>21</x:v>
      </x:c>
      <x:c r="C35" s="44" t="str">
        <x:v>Временное раскрепление/подпирание перекрытия</x:v>
      </x:c>
      <x:c r="D35" s="44" t="str">
        <x:v>компл.</x:v>
      </x:c>
      <x:c r="E35" s="46"/>
      <x:c r="F35" s="44" t="str">
        <x:v>ППР требуется</x:v>
      </x:c>
      <x:c r="G35" s="44" t="str">
        <x:v>Объём не назначен: схема временных опор не является частью текущей 3D-модели.</x:v>
      </x:c>
    </x:row>
    <x:row r="36" ht="55" customHeight="1">
      <x:c r="A36" s="44" t="str">
        <x:v>2–3 этажи</x:v>
      </x:c>
      <x:c r="B36" s="44" t="n">
        <x:v>21</x:v>
      </x:c>
      <x:c r="C36" s="44" t="str">
        <x:v>Антикоррозионная подготовка/огнезащита открытых Б1 до REI45</x:v>
      </x:c>
      <x:c r="D36" s="44" t="str">
        <x:v>м²</x:v>
      </x:c>
      <x:c r="E36" s="46"/>
      <x:c r="F36" s="44" t="str">
        <x:v>АС.2 л.24, примечания</x:v>
      </x:c>
      <x:c r="G36" s="44" t="str">
        <x:v>Площадь и выбранная система не определены этим выпуском. Не подставлять площадь габаритных прямоугольников.</x:v>
      </x:c>
    </x:row>
    <x:row r="37" ht="55" customHeight="1">
      <x:c r="A37" s="44" t="str">
        <x:v>2–3 этажи</x:v>
      </x:c>
      <x:c r="B37" s="44" t="n">
        <x:v>21</x:v>
      </x:c>
      <x:c r="C37" s="44" t="str">
        <x:v>Армирование МУ и обрамление отверстий</x:v>
      </x:c>
      <x:c r="D37" s="44" t="str">
        <x:v>компл.</x:v>
      </x:c>
      <x:c r="E37" s="46"/>
      <x:c r="F37" s="44" t="str">
        <x:v>АС.2 л.23–37,39</x:v>
      </x:c>
      <x:c r="G37" s="44" t="str">
        <x:v>Поштучные исходные позиции даны в спецификациях; сводную массу с неразрешёнными строками не назначали.</x:v>
      </x:c>
    </x:row>
  </x:sheetData>
  <x:mergeCells>
    <x:mergeCell ref="A1:G2"/>
    <x:mergeCell ref="A3:G3"/>
  </x:mergeCells>
  <x:pageMargins left="0.7" right="0.7" top="0.75" bottom="0.75" header="0.3" footer="0.3"/>
  <x:tableParts count="1">
    <x:tablePart xmlns:r="http://schemas.openxmlformats.org/officeDocument/2006/relationships" r:id="R65db8969fa3e49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18" hidden="0" customWidth="1"/>
    <x:col min="5" max="5" width="16" hidden="0" customWidth="1"/>
    <x:col min="6" max="6" width="14" hidden="0" customWidth="1"/>
    <x:col min="7" max="7" width="15" hidden="0" customWidth="1"/>
    <x:col min="8" max="8" width="15" hidden="0" customWidth="1"/>
    <x:col min="9" max="9" width="24" hidden="0" customWidth="1"/>
    <x:col min="10" max="10" width="40" hidden="0" customWidth="1"/>
  </x:cols>
  <x:sheetData>
    <x:row r="1" ht="22" customHeight="1">
      <x:c r="A1" s="95" t="str">
        <x:v>Контуры отверстий внутри МУ</x:v>
      </x:c>
      <x:c r="B1" s="95"/>
      <x:c r="C1" s="95"/>
      <x:c r="D1" s="95"/>
      <x:c r="E1" s="95"/>
      <x:c r="F1" s="95"/>
      <x:c r="G1" s="95"/>
      <x:c r="H1" s="95"/>
      <x:c r="I1" s="95"/>
      <x:c r="J1" s="95"/>
    </x:row>
    <x:row r="2" ht="22" customHeight="1">
      <x:c r="A2" s="95"/>
      <x:c r="B2" s="95"/>
      <x:c r="C2" s="95"/>
      <x:c r="D2" s="95"/>
      <x:c r="E2" s="95"/>
      <x:c r="F2" s="95"/>
      <x:c r="G2" s="95"/>
      <x:c r="H2" s="95"/>
      <x:c r="I2" s="95"/>
      <x:c r="J2" s="95"/>
    </x:row>
    <x:row r="3" ht="36" customHeight="1">
      <x:c r="A3" s="10" t="str">
        <x:v>95 контуров из векторных планов. X — от оси1, Y — от осиА, метры. Это не ведомость всех новых проходок; назначение существующее/новое сверять по РД.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40" customHeight="1">
      <x:c r="A5" s="16" t="str">
        <x:v>ID</x:v>
      </x:c>
      <x:c r="B5" s="16" t="str">
        <x:v>МУ</x:v>
      </x:c>
      <x:c r="C5" s="16" t="str">
        <x:v>Верх, м</x:v>
      </x:c>
      <x:c r="D5" s="16" t="str">
        <x:v>Форма</x:v>
      </x:c>
      <x:c r="E5" s="16" t="str">
        <x:v>Ширина/Ø, мм</x:v>
      </x:c>
      <x:c r="F5" s="16" t="str">
        <x:v>Высота, мм</x:v>
      </x:c>
      <x:c r="G5" s="16" t="str">
        <x:v>X центра, м</x:v>
      </x:c>
      <x:c r="H5" s="16" t="str">
        <x:v>Y центра, м</x:v>
      </x:c>
      <x:c r="I5" s="16" t="str">
        <x:v>Источник</x:v>
      </x:c>
      <x:c r="J5" s="16" t="str">
        <x:v>Примечание</x:v>
      </x:c>
    </x:row>
    <x:row r="6" ht="46" customHeight="1">
      <x:c r="A6" s="26" t="str">
        <x:v>F2_MU04_H01</x:v>
      </x:c>
      <x:c r="B6" s="26" t="str">
        <x:v>МУ 4</x:v>
      </x:c>
      <x:c r="C6" s="28" t="n">
        <x:v>3.5</x:v>
      </x:c>
      <x:c r="D6" s="26" t="str">
        <x:v>Прямоугольник</x:v>
      </x:c>
      <x:c r="E6" s="26" t="n">
        <x:v>1000</x:v>
      </x:c>
      <x:c r="F6" s="26" t="n">
        <x:v>600</x:v>
      </x:c>
      <x:c r="G6" s="48" t="n">
        <x:v>11.2285</x:v>
      </x:c>
      <x:c r="H6" s="48" t="n">
        <x:v>39.0333</x:v>
      </x:c>
      <x:c r="I6" s="26" t="str">
        <x:v>Л.20, PDF21</x:v>
      </x:c>
      <x:c r="J6" s="26" t="str">
        <x:v>Габарит по размерным подписям и векторной графике; привязка P2. Не ведомость всех отверстий этажа.</x:v>
      </x:c>
    </x:row>
    <x:row r="7" ht="46" customHeight="1">
      <x:c r="A7" s="22" t="str">
        <x:v>F2_MU05_H01</x:v>
      </x:c>
      <x:c r="B7" s="22" t="str">
        <x:v>МУ 5</x:v>
      </x:c>
      <x:c r="C7" s="29" t="n">
        <x:v>3.5</x:v>
      </x:c>
      <x:c r="D7" s="22" t="str">
        <x:v>Прямоугольник</x:v>
      </x:c>
      <x:c r="E7" s="22" t="n">
        <x:v>1200</x:v>
      </x:c>
      <x:c r="F7" s="22" t="n">
        <x:v>800</x:v>
      </x:c>
      <x:c r="G7" s="49" t="n">
        <x:v>12.854</x:v>
      </x:c>
      <x:c r="H7" s="49" t="n">
        <x:v>41.9968</x:v>
      </x:c>
      <x:c r="I7" s="22" t="str">
        <x:v>Л.20, PDF21</x:v>
      </x:c>
      <x:c r="J7" s="22" t="str">
        <x:v>Габарит по размерным подписям и векторной графике; привязка P2. Не ведомость всех отверстий этажа.</x:v>
      </x:c>
    </x:row>
    <x:row r="8" ht="46" customHeight="1">
      <x:c r="A8" s="26" t="str">
        <x:v>F2_MU05_H02</x:v>
      </x:c>
      <x:c r="B8" s="26" t="str">
        <x:v>МУ 5</x:v>
      </x:c>
      <x:c r="C8" s="28" t="n">
        <x:v>3.5</x:v>
      </x:c>
      <x:c r="D8" s="26" t="str">
        <x:v>Прямоугольник</x:v>
      </x:c>
      <x:c r="E8" s="26" t="n">
        <x:v>800</x:v>
      </x:c>
      <x:c r="F8" s="26" t="n">
        <x:v>500</x:v>
      </x:c>
      <x:c r="G8" s="48" t="n">
        <x:v>16.3782</x:v>
      </x:c>
      <x:c r="H8" s="48" t="n">
        <x:v>41.9693</x:v>
      </x:c>
      <x:c r="I8" s="26" t="str">
        <x:v>Л.20, PDF21</x:v>
      </x:c>
      <x:c r="J8" s="26" t="str">
        <x:v>Габарит по размерным подписям и векторной графике; привязка P2. Не ведомость всех отверстий этажа.</x:v>
      </x:c>
    </x:row>
    <x:row r="9" ht="46" customHeight="1">
      <x:c r="A9" s="22" t="str">
        <x:v>F2_MU05_H03</x:v>
      </x:c>
      <x:c r="B9" s="22" t="str">
        <x:v>МУ 5</x:v>
      </x:c>
      <x:c r="C9" s="29" t="n">
        <x:v>3.5</x:v>
      </x:c>
      <x:c r="D9" s="22" t="str">
        <x:v>Круг</x:v>
      </x:c>
      <x:c r="E9" s="22" t="n">
        <x:v>150</x:v>
      </x:c>
      <x:c r="F9" s="22" t="n">
        <x:v>150</x:v>
      </x:c>
      <x:c r="G9" s="49" t="n">
        <x:v>14.0838</x:v>
      </x:c>
      <x:c r="H9" s="49" t="n">
        <x:v>41.6454</x:v>
      </x:c>
      <x:c r="I9" s="22" t="str">
        <x:v>Л.20, PDF21</x:v>
      </x:c>
      <x:c r="J9" s="22" t="str">
        <x:v>Диаметр по подписи плана; центр оцифрован.</x:v>
      </x:c>
    </x:row>
    <x:row r="10" ht="46" customHeight="1">
      <x:c r="A10" s="26" t="str">
        <x:v>F2_MU05_H04</x:v>
      </x:c>
      <x:c r="B10" s="26" t="str">
        <x:v>МУ 5</x:v>
      </x:c>
      <x:c r="C10" s="28" t="n">
        <x:v>3.5</x:v>
      </x:c>
      <x:c r="D10" s="26" t="str">
        <x:v>Круг</x:v>
      </x:c>
      <x:c r="E10" s="26" t="n">
        <x:v>100</x:v>
      </x:c>
      <x:c r="F10" s="26" t="n">
        <x:v>100</x:v>
      </x:c>
      <x:c r="G10" s="48" t="n">
        <x:v>17.2417</x:v>
      </x:c>
      <x:c r="H10" s="48" t="n">
        <x:v>41.6158</x:v>
      </x:c>
      <x:c r="I10" s="26" t="str">
        <x:v>Л.20, PDF21</x:v>
      </x:c>
      <x:c r="J10" s="26" t="str">
        <x:v>Диаметр по подписи плана; центр оцифрован.</x:v>
      </x:c>
    </x:row>
    <x:row r="11" ht="46" customHeight="1">
      <x:c r="A11" s="22" t="str">
        <x:v>F2_MU05_H05</x:v>
      </x:c>
      <x:c r="B11" s="22" t="str">
        <x:v>МУ 5</x:v>
      </x:c>
      <x:c r="C11" s="29" t="n">
        <x:v>3.5</x:v>
      </x:c>
      <x:c r="D11" s="22" t="str">
        <x:v>Прямоугольник</x:v>
      </x:c>
      <x:c r="E11" s="22" t="n">
        <x:v>300</x:v>
      </x:c>
      <x:c r="F11" s="22" t="n">
        <x:v>300</x:v>
      </x:c>
      <x:c r="G11" s="49" t="n">
        <x:v>13.7578</x:v>
      </x:c>
      <x:c r="H11" s="49" t="n">
        <x:v>42.1979</x:v>
      </x:c>
      <x:c r="I11" s="22" t="str">
        <x:v>Л.20, PDF21</x:v>
      </x:c>
      <x:c r="J11" s="22" t="str">
        <x:v>Габарит по размерным подписям и векторной графике; привязка P2. Не ведомость всех отверстий этажа.</x:v>
      </x:c>
    </x:row>
    <x:row r="12" ht="46" customHeight="1">
      <x:c r="A12" s="26" t="str">
        <x:v>F2_MU06_H01</x:v>
      </x:c>
      <x:c r="B12" s="26" t="str">
        <x:v>МУ 6</x:v>
      </x:c>
      <x:c r="C12" s="28" t="n">
        <x:v>3.5</x:v>
      </x:c>
      <x:c r="D12" s="26" t="str">
        <x:v>Прямоугольник</x:v>
      </x:c>
      <x:c r="E12" s="26" t="n">
        <x:v>1500</x:v>
      </x:c>
      <x:c r="F12" s="26" t="n">
        <x:v>600</x:v>
      </x:c>
      <x:c r="G12" s="48" t="n">
        <x:v>22.7046</x:v>
      </x:c>
      <x:c r="H12" s="48" t="n">
        <x:v>42.0963</x:v>
      </x:c>
      <x:c r="I12" s="26" t="str">
        <x:v>Л.20, PDF21</x:v>
      </x:c>
      <x:c r="J12" s="26" t="str">
        <x:v>Габарит по размерным подписям и векторной графике; привязка P2. Не ведомость всех отверстий этажа.</x:v>
      </x:c>
    </x:row>
    <x:row r="13" ht="46" customHeight="1">
      <x:c r="A13" s="22" t="str">
        <x:v>F2_MU07_H01</x:v>
      </x:c>
      <x:c r="B13" s="22" t="str">
        <x:v>МУ 7</x:v>
      </x:c>
      <x:c r="C13" s="29" t="n">
        <x:v>3.5</x:v>
      </x:c>
      <x:c r="D13" s="22" t="str">
        <x:v>Прямоугольник</x:v>
      </x:c>
      <x:c r="E13" s="22" t="n">
        <x:v>700</x:v>
      </x:c>
      <x:c r="F13" s="22" t="n">
        <x:v>400</x:v>
      </x:c>
      <x:c r="G13" s="49" t="n">
        <x:v>25.0773</x:v>
      </x:c>
      <x:c r="H13" s="49" t="n">
        <x:v>41.9968</x:v>
      </x:c>
      <x:c r="I13" s="22" t="str">
        <x:v>Л.20, PDF21</x:v>
      </x:c>
      <x:c r="J13" s="22" t="str">
        <x:v>Габарит по размерным подписям и векторной графике; привязка P2. Не ведомость всех отверстий этажа.</x:v>
      </x:c>
    </x:row>
    <x:row r="14" ht="46" customHeight="1">
      <x:c r="A14" s="26" t="str">
        <x:v>F2_MU07_H02</x:v>
      </x:c>
      <x:c r="B14" s="26" t="str">
        <x:v>МУ 7</x:v>
      </x:c>
      <x:c r="C14" s="28" t="n">
        <x:v>3.5</x:v>
      </x:c>
      <x:c r="D14" s="26" t="str">
        <x:v>Круг</x:v>
      </x:c>
      <x:c r="E14" s="26" t="n">
        <x:v>100</x:v>
      </x:c>
      <x:c r="F14" s="26" t="n">
        <x:v>100</x:v>
      </x:c>
      <x:c r="G14" s="48" t="n">
        <x:v>29.3698</x:v>
      </x:c>
      <x:c r="H14" s="48" t="n">
        <x:v>41.62</x:v>
      </x:c>
      <x:c r="I14" s="26" t="str">
        <x:v>Л.20, PDF21</x:v>
      </x:c>
      <x:c r="J14" s="26" t="str">
        <x:v>Диаметр по подписи плана; центр оцифрован.</x:v>
      </x:c>
    </x:row>
    <x:row r="15" ht="46" customHeight="1">
      <x:c r="A15" s="22" t="str">
        <x:v>F2_MU08_H01</x:v>
      </x:c>
      <x:c r="B15" s="22" t="str">
        <x:v>МУ 8</x:v>
      </x:c>
      <x:c r="C15" s="29" t="n">
        <x:v>3.5</x:v>
      </x:c>
      <x:c r="D15" s="22" t="str">
        <x:v>Прямоугольник</x:v>
      </x:c>
      <x:c r="E15" s="22" t="n">
        <x:v>300</x:v>
      </x:c>
      <x:c r="F15" s="22" t="n">
        <x:v>160</x:v>
      </x:c>
      <x:c r="G15" s="49" t="n">
        <x:v>33.349</x:v>
      </x:c>
      <x:c r="H15" s="49" t="n">
        <x:v>42.2995</x:v>
      </x:c>
      <x:c r="I15" s="22" t="str">
        <x:v>Л.20, PDF21</x:v>
      </x:c>
      <x:c r="J15" s="22" t="str">
        <x:v>Габарит по размерным подписям и векторной графике; привязка P2. Не ведомость всех отверстий этажа.</x:v>
      </x:c>
    </x:row>
    <x:row r="16" ht="46" customHeight="1">
      <x:c r="A16" s="26" t="str">
        <x:v>F2_MU09_H01</x:v>
      </x:c>
      <x:c r="B16" s="26" t="str">
        <x:v>МУ 9</x:v>
      </x:c>
      <x:c r="C16" s="28" t="n">
        <x:v>3.5</x:v>
      </x:c>
      <x:c r="D16" s="26" t="str">
        <x:v>Круг</x:v>
      </x:c>
      <x:c r="E16" s="26" t="n">
        <x:v>100</x:v>
      </x:c>
      <x:c r="F16" s="26" t="n">
        <x:v>100</x:v>
      </x:c>
      <x:c r="G16" s="48" t="n">
        <x:v>40.4692</x:v>
      </x:c>
      <x:c r="H16" s="48" t="n">
        <x:v>41.6158</x:v>
      </x:c>
      <x:c r="I16" s="26" t="str">
        <x:v>Л.20, PDF21</x:v>
      </x:c>
      <x:c r="J16" s="26" t="str">
        <x:v>Диаметр по подписи плана; центр оцифрован.</x:v>
      </x:c>
    </x:row>
    <x:row r="17" ht="46" customHeight="1">
      <x:c r="A17" s="22" t="str">
        <x:v>F2_MU11_H01</x:v>
      </x:c>
      <x:c r="B17" s="22" t="str">
        <x:v>МУ 11</x:v>
      </x:c>
      <x:c r="C17" s="29" t="n">
        <x:v>3.5</x:v>
      </x:c>
      <x:c r="D17" s="22" t="str">
        <x:v>Прямоугольник</x:v>
      </x:c>
      <x:c r="E17" s="22" t="n">
        <x:v>300</x:v>
      </x:c>
      <x:c r="F17" s="22" t="n">
        <x:v>300</x:v>
      </x:c>
      <x:c r="G17" s="49" t="n">
        <x:v>41.9974</x:v>
      </x:c>
      <x:c r="H17" s="49" t="n">
        <x:v>35.4073</x:v>
      </x:c>
      <x:c r="I17" s="22" t="str">
        <x:v>Л.20, PDF21</x:v>
      </x:c>
      <x:c r="J17" s="22" t="str">
        <x:v>Габарит по размерным подписям и векторной графике; привязка P2. Не ведомость всех отверстий этажа.</x:v>
      </x:c>
    </x:row>
    <x:row r="18" ht="46" customHeight="1">
      <x:c r="A18" s="26" t="str">
        <x:v>F2_MU11_H02</x:v>
      </x:c>
      <x:c r="B18" s="26" t="str">
        <x:v>МУ 11</x:v>
      </x:c>
      <x:c r="C18" s="28" t="n">
        <x:v>3.5</x:v>
      </x:c>
      <x:c r="D18" s="26" t="str">
        <x:v>Прямоугольник</x:v>
      </x:c>
      <x:c r="E18" s="26" t="n">
        <x:v>700</x:v>
      </x:c>
      <x:c r="F18" s="26" t="n">
        <x:v>800</x:v>
      </x:c>
      <x:c r="G18" s="48" t="n">
        <x:v>42.0122</x:v>
      </x:c>
      <x:c r="H18" s="48" t="n">
        <x:v>34.7109</x:v>
      </x:c>
      <x:c r="I18" s="26" t="str">
        <x:v>Л.20, PDF21</x:v>
      </x:c>
      <x:c r="J18" s="26" t="str">
        <x:v>Габарит по размерным подписям и векторной графике; привязка P2. Не ведомость всех отверстий этажа.</x:v>
      </x:c>
    </x:row>
    <x:row r="19" ht="46" customHeight="1">
      <x:c r="A19" s="22" t="str">
        <x:v>F2_MU11_H03</x:v>
      </x:c>
      <x:c r="B19" s="22" t="str">
        <x:v>МУ 11</x:v>
      </x:c>
      <x:c r="C19" s="29" t="n">
        <x:v>3.5</x:v>
      </x:c>
      <x:c r="D19" s="22" t="str">
        <x:v>Круг</x:v>
      </x:c>
      <x:c r="E19" s="22" t="n">
        <x:v>150</x:v>
      </x:c>
      <x:c r="F19" s="22" t="n">
        <x:v>150</x:v>
      </x:c>
      <x:c r="G19" s="49" t="n">
        <x:v>42.3106</x:v>
      </x:c>
      <x:c r="H19" s="49" t="n">
        <x:v>34.0377</x:v>
      </x:c>
      <x:c r="I19" s="22" t="str">
        <x:v>Л.20, PDF21</x:v>
      </x:c>
      <x:c r="J19" s="22" t="str">
        <x:v>Диаметр по подписи плана; центр оцифрован.</x:v>
      </x:c>
    </x:row>
    <x:row r="20" ht="46" customHeight="1">
      <x:c r="A20" s="26" t="str">
        <x:v>F2_MU11_H04</x:v>
      </x:c>
      <x:c r="B20" s="26" t="str">
        <x:v>МУ 11</x:v>
      </x:c>
      <x:c r="C20" s="28" t="n">
        <x:v>3.5</x:v>
      </x:c>
      <x:c r="D20" s="26" t="str">
        <x:v>Круг</x:v>
      </x:c>
      <x:c r="E20" s="26" t="n">
        <x:v>150</x:v>
      </x:c>
      <x:c r="F20" s="26" t="n">
        <x:v>150</x:v>
      </x:c>
      <x:c r="G20" s="48" t="n">
        <x:v>41.6841</x:v>
      </x:c>
      <x:c r="H20" s="48" t="n">
        <x:v>31.2986</x:v>
      </x:c>
      <x:c r="I20" s="26" t="str">
        <x:v>Л.20, PDF21</x:v>
      </x:c>
      <x:c r="J20" s="26" t="str">
        <x:v>Диаметр по подписи плана; центр оцифрован.</x:v>
      </x:c>
    </x:row>
    <x:row r="21" ht="46" customHeight="1">
      <x:c r="A21" s="22" t="str">
        <x:v>F2_MU11_H05</x:v>
      </x:c>
      <x:c r="B21" s="22" t="str">
        <x:v>МУ 11</x:v>
      </x:c>
      <x:c r="C21" s="29" t="n">
        <x:v>3.5</x:v>
      </x:c>
      <x:c r="D21" s="22" t="str">
        <x:v>Прямоугольник</x:v>
      </x:c>
      <x:c r="E21" s="22" t="n">
        <x:v>100</x:v>
      </x:c>
      <x:c r="F21" s="22" t="n">
        <x:v>150</x:v>
      </x:c>
      <x:c r="G21" s="49" t="n">
        <x:v>41.6481</x:v>
      </x:c>
      <x:c r="H21" s="49" t="n">
        <x:v>31.1229</x:v>
      </x:c>
      <x:c r="I21" s="22" t="str">
        <x:v>Л.20, PDF21</x:v>
      </x:c>
      <x:c r="J21" s="22" t="str">
        <x:v>Габарит по размерным подписям и векторной графике; привязка P2. Не ведомость всех отверстий этажа.</x:v>
      </x:c>
    </x:row>
    <x:row r="22" ht="46" customHeight="1">
      <x:c r="A22" s="26" t="str">
        <x:v>F2_MU11_H06</x:v>
      </x:c>
      <x:c r="B22" s="26" t="str">
        <x:v>МУ 11</x:v>
      </x:c>
      <x:c r="C22" s="28" t="n">
        <x:v>3.5</x:v>
      </x:c>
      <x:c r="D22" s="26" t="str">
        <x:v>Круг</x:v>
      </x:c>
      <x:c r="E22" s="26" t="n">
        <x:v>100</x:v>
      </x:c>
      <x:c r="F22" s="26" t="n">
        <x:v>100</x:v>
      </x:c>
      <x:c r="G22" s="48" t="n">
        <x:v>41.6799</x:v>
      </x:c>
      <x:c r="H22" s="48" t="n">
        <x:v>30.9007</x:v>
      </x:c>
      <x:c r="I22" s="26" t="str">
        <x:v>Л.20, PDF21</x:v>
      </x:c>
      <x:c r="J22" s="26" t="str">
        <x:v>Диаметр по подписи плана; центр оцифрован.</x:v>
      </x:c>
    </x:row>
    <x:row r="23" ht="46" customHeight="1">
      <x:c r="A23" s="22" t="str">
        <x:v>F2_MU12_H01</x:v>
      </x:c>
      <x:c r="B23" s="22" t="str">
        <x:v>МУ 12</x:v>
      </x:c>
      <x:c r="C23" s="29" t="n">
        <x:v>3.5</x:v>
      </x:c>
      <x:c r="D23" s="22" t="str">
        <x:v>Прямоугольник</x:v>
      </x:c>
      <x:c r="E23" s="22" t="n">
        <x:v>400</x:v>
      </x:c>
      <x:c r="F23" s="22" t="n">
        <x:v>400</x:v>
      </x:c>
      <x:c r="G23" s="49" t="n">
        <x:v>41.9974</x:v>
      </x:c>
      <x:c r="H23" s="49" t="n">
        <x:v>28.7585</x:v>
      </x:c>
      <x:c r="I23" s="22" t="str">
        <x:v>Л.20, PDF21</x:v>
      </x:c>
      <x:c r="J23" s="22" t="str">
        <x:v>Габарит по размерным подписям и векторной графике; привязка P2. Не ведомость всех отверстий этажа.</x:v>
      </x:c>
    </x:row>
    <x:row r="24" ht="46" customHeight="1">
      <x:c r="A24" s="26" t="str">
        <x:v>F2_MU12_H02</x:v>
      </x:c>
      <x:c r="B24" s="26" t="str">
        <x:v>МУ 12</x:v>
      </x:c>
      <x:c r="C24" s="28" t="n">
        <x:v>3.5</x:v>
      </x:c>
      <x:c r="D24" s="26" t="str">
        <x:v>Прямоугольник</x:v>
      </x:c>
      <x:c r="E24" s="26" t="n">
        <x:v>600</x:v>
      </x:c>
      <x:c r="F24" s="26" t="n">
        <x:v>1200</x:v>
      </x:c>
      <x:c r="G24" s="48" t="n">
        <x:v>42.0037</x:v>
      </x:c>
      <x:c r="H24" s="48" t="n">
        <x:v>24.8023</x:v>
      </x:c>
      <x:c r="I24" s="26" t="str">
        <x:v>Л.20, PDF21</x:v>
      </x:c>
      <x:c r="J24" s="26" t="str">
        <x:v>Габарит по размерным подписям и векторной графике; привязка P2. Не ведомость всех отверстий этажа.</x:v>
      </x:c>
    </x:row>
    <x:row r="25" ht="46" customHeight="1">
      <x:c r="A25" s="22" t="str">
        <x:v>F2_MU12_H03</x:v>
      </x:c>
      <x:c r="B25" s="22" t="str">
        <x:v>МУ 12</x:v>
      </x:c>
      <x:c r="C25" s="29" t="n">
        <x:v>3.5</x:v>
      </x:c>
      <x:c r="D25" s="22" t="str">
        <x:v>Круг</x:v>
      </x:c>
      <x:c r="E25" s="22" t="n">
        <x:v>150</x:v>
      </x:c>
      <x:c r="F25" s="22" t="n">
        <x:v>150</x:v>
      </x:c>
      <x:c r="G25" s="49" t="n">
        <x:v>41.7476</x:v>
      </x:c>
      <x:c r="H25" s="49" t="n">
        <x:v>29.6941</x:v>
      </x:c>
      <x:c r="I25" s="22" t="str">
        <x:v>Л.20, PDF21</x:v>
      </x:c>
      <x:c r="J25" s="22" t="str">
        <x:v>Диаметр по подписи плана; центр оцифрован.</x:v>
      </x:c>
    </x:row>
    <x:row r="26" ht="46" customHeight="1">
      <x:c r="A26" s="26" t="str">
        <x:v>F2_MU12_H04</x:v>
      </x:c>
      <x:c r="B26" s="26" t="str">
        <x:v>МУ 12</x:v>
      </x:c>
      <x:c r="C26" s="28" t="n">
        <x:v>3.5</x:v>
      </x:c>
      <x:c r="D26" s="26" t="str">
        <x:v>Прямоугольник</x:v>
      </x:c>
      <x:c r="E26" s="26" t="n">
        <x:v>640</x:v>
      </x:c>
      <x:c r="F26" s="26" t="n">
        <x:v>300</x:v>
      </x:c>
      <x:c r="G26" s="48" t="n">
        <x:v>41.9825</x:v>
      </x:c>
      <x:c r="H26" s="48" t="n">
        <x:v>25.6723</x:v>
      </x:c>
      <x:c r="I26" s="26" t="str">
        <x:v>Л.20, PDF21</x:v>
      </x:c>
      <x:c r="J26" s="26" t="str">
        <x:v>Габарит по размерным подписям и векторной графике; привязка P2. Не ведомость всех отверстий этажа.</x:v>
      </x:c>
    </x:row>
    <x:row r="27" ht="46" customHeight="1">
      <x:c r="A27" s="22" t="str">
        <x:v>F2_MU13_H01</x:v>
      </x:c>
      <x:c r="B27" s="22" t="str">
        <x:v>МУ 13</x:v>
      </x:c>
      <x:c r="C27" s="29" t="n">
        <x:v>3.5</x:v>
      </x:c>
      <x:c r="D27" s="22" t="str">
        <x:v>Круг</x:v>
      </x:c>
      <x:c r="E27" s="22" t="n">
        <x:v>150</x:v>
      </x:c>
      <x:c r="F27" s="22" t="n">
        <x:v>150</x:v>
      </x:c>
      <x:c r="G27" s="49" t="n">
        <x:v>41.6968</x:v>
      </x:c>
      <x:c r="H27" s="49" t="n">
        <x:v>18.4159</x:v>
      </x:c>
      <x:c r="I27" s="22" t="str">
        <x:v>Л.20, PDF21</x:v>
      </x:c>
      <x:c r="J27" s="22" t="str">
        <x:v>Диаметр по подписи плана; центр оцифрован.</x:v>
      </x:c>
    </x:row>
    <x:row r="28" ht="46" customHeight="1">
      <x:c r="A28" s="26" t="str">
        <x:v>F2_MU13_H02</x:v>
      </x:c>
      <x:c r="B28" s="26" t="str">
        <x:v>МУ 13</x:v>
      </x:c>
      <x:c r="C28" s="28" t="n">
        <x:v>3.5</x:v>
      </x:c>
      <x:c r="D28" s="26" t="str">
        <x:v>Прямоугольник</x:v>
      </x:c>
      <x:c r="E28" s="26" t="n">
        <x:v>100</x:v>
      </x:c>
      <x:c r="F28" s="26" t="n">
        <x:v>150</x:v>
      </x:c>
      <x:c r="G28" s="48" t="n">
        <x:v>41.6481</x:v>
      </x:c>
      <x:c r="H28" s="48" t="n">
        <x:v>18.272</x:v>
      </x:c>
      <x:c r="I28" s="26" t="str">
        <x:v>Л.20, PDF21</x:v>
      </x:c>
      <x:c r="J28" s="26" t="str">
        <x:v>Габарит по размерным подписям и векторной графике; привязка P2. Не ведомость всех отверстий этажа.</x:v>
      </x:c>
    </x:row>
    <x:row r="29" ht="46" customHeight="1">
      <x:c r="A29" s="22" t="str">
        <x:v>F2_MU14_H01</x:v>
      </x:c>
      <x:c r="B29" s="22" t="str">
        <x:v>МУ 14</x:v>
      </x:c>
      <x:c r="C29" s="29" t="n">
        <x:v>3.5</x:v>
      </x:c>
      <x:c r="D29" s="22" t="str">
        <x:v>Круг</x:v>
      </x:c>
      <x:c r="E29" s="22" t="n">
        <x:v>100</x:v>
      </x:c>
      <x:c r="F29" s="22" t="n">
        <x:v>100</x:v>
      </x:c>
      <x:c r="G29" s="49" t="n">
        <x:v>41.6502</x:v>
      </x:c>
      <x:c r="H29" s="49" t="n">
        <x:v>17.62</x:v>
      </x:c>
      <x:c r="I29" s="22" t="str">
        <x:v>Л.20, PDF21</x:v>
      </x:c>
      <x:c r="J29" s="22" t="str">
        <x:v>Диаметр по подписи плана; центр оцифрован.</x:v>
      </x:c>
    </x:row>
    <x:row r="30" ht="46" customHeight="1">
      <x:c r="A30" s="26" t="str">
        <x:v>F2_MU14_H02</x:v>
      </x:c>
      <x:c r="B30" s="26" t="str">
        <x:v>МУ 14</x:v>
      </x:c>
      <x:c r="C30" s="28" t="n">
        <x:v>3.5</x:v>
      </x:c>
      <x:c r="D30" s="26" t="str">
        <x:v>Круг</x:v>
      </x:c>
      <x:c r="E30" s="26" t="n">
        <x:v>150</x:v>
      </x:c>
      <x:c r="F30" s="26" t="n">
        <x:v>150</x:v>
      </x:c>
      <x:c r="G30" s="48" t="n">
        <x:v>41.6841</x:v>
      </x:c>
      <x:c r="H30" s="48" t="n">
        <x:v>12.2985</x:v>
      </x:c>
      <x:c r="I30" s="26" t="str">
        <x:v>Л.20, PDF21</x:v>
      </x:c>
      <x:c r="J30" s="26" t="str">
        <x:v>Диаметр по подписи плана; центр оцифрован.</x:v>
      </x:c>
    </x:row>
    <x:row r="31" ht="46" customHeight="1">
      <x:c r="A31" s="22" t="str">
        <x:v>F2_MU16_H01</x:v>
      </x:c>
      <x:c r="B31" s="22" t="str">
        <x:v>МУ 16</x:v>
      </x:c>
      <x:c r="C31" s="29" t="n">
        <x:v>3.5</x:v>
      </x:c>
      <x:c r="D31" s="22" t="str">
        <x:v>Прямоугольник</x:v>
      </x:c>
      <x:c r="E31" s="22" t="n">
        <x:v>600</x:v>
      </x:c>
      <x:c r="F31" s="22" t="n">
        <x:v>150</x:v>
      </x:c>
      <x:c r="G31" s="49" t="n">
        <x:v>40.2173</x:v>
      </x:c>
      <x:c r="H31" s="49" t="n">
        <x:v>5.6878</x:v>
      </x:c>
      <x:c r="I31" s="22" t="str">
        <x:v>Л.20, PDF21</x:v>
      </x:c>
      <x:c r="J31" s="22" t="str">
        <x:v>Габарит по размерным подписям и векторной графике; привязка P2. Не ведомость всех отверстий этажа.</x:v>
      </x:c>
    </x:row>
    <x:row r="32" ht="46" customHeight="1">
      <x:c r="A32" s="26" t="str">
        <x:v>F2_MU16_H02</x:v>
      </x:c>
      <x:c r="B32" s="26" t="str">
        <x:v>МУ 16</x:v>
      </x:c>
      <x:c r="C32" s="28" t="n">
        <x:v>3.5</x:v>
      </x:c>
      <x:c r="D32" s="26" t="str">
        <x:v>Круг</x:v>
      </x:c>
      <x:c r="E32" s="26" t="n">
        <x:v>150</x:v>
      </x:c>
      <x:c r="F32" s="26" t="n">
        <x:v>150</x:v>
      </x:c>
      <x:c r="G32" s="48" t="n">
        <x:v>40.3379</x:v>
      </x:c>
      <x:c r="H32" s="48" t="n">
        <x:v>5.9989</x:v>
      </x:c>
      <x:c r="I32" s="26" t="str">
        <x:v>Л.20, PDF21</x:v>
      </x:c>
      <x:c r="J32" s="26" t="str">
        <x:v>Диаметр по подписи плана; центр оцифрован.</x:v>
      </x:c>
    </x:row>
    <x:row r="33" ht="46" customHeight="1">
      <x:c r="A33" s="22" t="str">
        <x:v>F2_MU17_H01</x:v>
      </x:c>
      <x:c r="B33" s="22" t="str">
        <x:v>МУ 17</x:v>
      </x:c>
      <x:c r="C33" s="29" t="n">
        <x:v>3.5</x:v>
      </x:c>
      <x:c r="D33" s="22" t="str">
        <x:v>Прямоугольник</x:v>
      </x:c>
      <x:c r="E33" s="22" t="n">
        <x:v>1900</x:v>
      </x:c>
      <x:c r="F33" s="22" t="n">
        <x:v>600</x:v>
      </x:c>
      <x:c r="G33" s="49" t="n">
        <x:v>31.5075</x:v>
      </x:c>
      <x:c r="H33" s="49" t="n">
        <x:v>5.9376</x:v>
      </x:c>
      <x:c r="I33" s="22" t="str">
        <x:v>Л.20, PDF21</x:v>
      </x:c>
      <x:c r="J33" s="22" t="str">
        <x:v>Габарит по размерным подписям и векторной графике; привязка P2. Не ведомость всех отверстий этажа.</x:v>
      </x:c>
    </x:row>
    <x:row r="34" ht="46" customHeight="1">
      <x:c r="A34" s="26" t="str">
        <x:v>F2_MU17_H02</x:v>
      </x:c>
      <x:c r="B34" s="26" t="str">
        <x:v>МУ 17</x:v>
      </x:c>
      <x:c r="C34" s="28" t="n">
        <x:v>3.5</x:v>
      </x:c>
      <x:c r="D34" s="26" t="str">
        <x:v>Круг</x:v>
      </x:c>
      <x:c r="E34" s="26" t="n">
        <x:v>150</x:v>
      </x:c>
      <x:c r="F34" s="26" t="n">
        <x:v>150</x:v>
      </x:c>
      <x:c r="G34" s="48" t="n">
        <x:v>35.6857</x:v>
      </x:c>
      <x:c r="H34" s="48" t="n">
        <x:v>6.3038</x:v>
      </x:c>
      <x:c r="I34" s="26" t="str">
        <x:v>Л.20, PDF21</x:v>
      </x:c>
      <x:c r="J34" s="26" t="str">
        <x:v>Диаметр по подписи плана; центр оцифрован.</x:v>
      </x:c>
    </x:row>
    <x:row r="35" ht="46" customHeight="1">
      <x:c r="A35" s="22" t="str">
        <x:v>F2_MU17_H03</x:v>
      </x:c>
      <x:c r="B35" s="22" t="str">
        <x:v>МУ 17</x:v>
      </x:c>
      <x:c r="C35" s="29" t="n">
        <x:v>3.5</x:v>
      </x:c>
      <x:c r="D35" s="22" t="str">
        <x:v>Круг</x:v>
      </x:c>
      <x:c r="E35" s="22" t="n">
        <x:v>100</x:v>
      </x:c>
      <x:c r="F35" s="22" t="n">
        <x:v>100</x:v>
      </x:c>
      <x:c r="G35" s="49" t="n">
        <x:v>34.9279</x:v>
      </x:c>
      <x:c r="H35" s="49" t="n">
        <x:v>6.3334</x:v>
      </x:c>
      <x:c r="I35" s="22" t="str">
        <x:v>Л.20, PDF21</x:v>
      </x:c>
      <x:c r="J35" s="22" t="str">
        <x:v>Диаметр по подписи плана; центр оцифрован.</x:v>
      </x:c>
    </x:row>
    <x:row r="36" ht="46" customHeight="1">
      <x:c r="A36" s="26" t="str">
        <x:v>F2_MU17_H04</x:v>
      </x:c>
      <x:c r="B36" s="26" t="str">
        <x:v>МУ 17</x:v>
      </x:c>
      <x:c r="C36" s="28" t="n">
        <x:v>3.5</x:v>
      </x:c>
      <x:c r="D36" s="26" t="str">
        <x:v>Прямоугольник</x:v>
      </x:c>
      <x:c r="E36" s="26" t="n">
        <x:v>700</x:v>
      </x:c>
      <x:c r="F36" s="26" t="n">
        <x:v>300</x:v>
      </x:c>
      <x:c r="G36" s="48" t="n">
        <x:v>35.4486</x:v>
      </x:c>
      <x:c r="H36" s="48" t="n">
        <x:v>5.7619</x:v>
      </x:c>
      <x:c r="I36" s="26" t="str">
        <x:v>Л.20, PDF21</x:v>
      </x:c>
      <x:c r="J36" s="26" t="str">
        <x:v>Габарит по размерным подписям и векторной графике; привязка P2. Не ведомость всех отверстий этажа.</x:v>
      </x:c>
    </x:row>
    <x:row r="37" ht="46" customHeight="1">
      <x:c r="A37" s="22" t="str">
        <x:v>F2_MU18_H01</x:v>
      </x:c>
      <x:c r="B37" s="22" t="str">
        <x:v>МУ 18</x:v>
      </x:c>
      <x:c r="C37" s="29" t="n">
        <x:v>3.5</x:v>
      </x:c>
      <x:c r="D37" s="22" t="str">
        <x:v>Прямоугольник</x:v>
      </x:c>
      <x:c r="E37" s="22" t="n">
        <x:v>1100</x:v>
      </x:c>
      <x:c r="F37" s="22" t="n">
        <x:v>600</x:v>
      </x:c>
      <x:c r="G37" s="49" t="n">
        <x:v>24.7789</x:v>
      </x:c>
      <x:c r="H37" s="49" t="n">
        <x:v>5.9376</x:v>
      </x:c>
      <x:c r="I37" s="22" t="str">
        <x:v>Л.20, PDF21</x:v>
      </x:c>
      <x:c r="J37" s="22" t="str">
        <x:v>Габарит по размерным подписям и векторной графике; привязка P2. Не ведомость всех отверстий этажа.</x:v>
      </x:c>
    </x:row>
    <x:row r="38" ht="46" customHeight="1">
      <x:c r="A38" s="26" t="str">
        <x:v>F2_MU18_H02</x:v>
      </x:c>
      <x:c r="B38" s="26" t="str">
        <x:v>МУ 18</x:v>
      </x:c>
      <x:c r="C38" s="28" t="n">
        <x:v>3.5</x:v>
      </x:c>
      <x:c r="D38" s="26" t="str">
        <x:v>Прямоугольник</x:v>
      </x:c>
      <x:c r="E38" s="26" t="n">
        <x:v>1900</x:v>
      </x:c>
      <x:c r="F38" s="26" t="n">
        <x:v>500</x:v>
      </x:c>
      <x:c r="G38" s="48" t="n">
        <x:v>28.8491</x:v>
      </x:c>
      <x:c r="H38" s="48" t="n">
        <x:v>5.8571</x:v>
      </x:c>
      <x:c r="I38" s="26" t="str">
        <x:v>Л.20, PDF21</x:v>
      </x:c>
      <x:c r="J38" s="26" t="str">
        <x:v>Габарит по размерным подписям и векторной графике; привязка P2. Не ведомость всех отверстий этажа.</x:v>
      </x:c>
    </x:row>
    <x:row r="39" ht="46" customHeight="1">
      <x:c r="A39" s="22" t="str">
        <x:v>F2_MU19_H01</x:v>
      </x:c>
      <x:c r="B39" s="22" t="str">
        <x:v>МУ 19</x:v>
      </x:c>
      <x:c r="C39" s="29" t="n">
        <x:v>3.5</x:v>
      </x:c>
      <x:c r="D39" s="22" t="str">
        <x:v>Круг</x:v>
      </x:c>
      <x:c r="E39" s="22" t="n">
        <x:v>100</x:v>
      </x:c>
      <x:c r="F39" s="22" t="n">
        <x:v>100</x:v>
      </x:c>
      <x:c r="G39" s="49" t="n">
        <x:v>19.6208</x:v>
      </x:c>
      <x:c r="H39" s="49" t="n">
        <x:v>6.363</x:v>
      </x:c>
      <x:c r="I39" s="22" t="str">
        <x:v>Л.20, PDF21</x:v>
      </x:c>
      <x:c r="J39" s="22" t="str">
        <x:v>Диаметр по подписи плана; центр оцифрован.</x:v>
      </x:c>
    </x:row>
    <x:row r="40" ht="46" customHeight="1">
      <x:c r="A40" s="26" t="str">
        <x:v>F2_MU19_H02</x:v>
      </x:c>
      <x:c r="B40" s="26" t="str">
        <x:v>МУ 19</x:v>
      </x:c>
      <x:c r="C40" s="28" t="n">
        <x:v>3.5</x:v>
      </x:c>
      <x:c r="D40" s="26" t="str">
        <x:v>Круг</x:v>
      </x:c>
      <x:c r="E40" s="26" t="n">
        <x:v>150</x:v>
      </x:c>
      <x:c r="F40" s="26" t="n">
        <x:v>150</x:v>
      </x:c>
      <x:c r="G40" s="48" t="n">
        <x:v>22.1099</x:v>
      </x:c>
      <x:c r="H40" s="48" t="n">
        <x:v>6.3757</x:v>
      </x:c>
      <x:c r="I40" s="26" t="str">
        <x:v>Л.20, PDF21</x:v>
      </x:c>
      <x:c r="J40" s="26" t="str">
        <x:v>Диаметр по подписи плана; центр оцифрован.</x:v>
      </x:c>
    </x:row>
    <x:row r="41" ht="46" customHeight="1">
      <x:c r="A41" s="22" t="str">
        <x:v>F2_MU19_H03</x:v>
      </x:c>
      <x:c r="B41" s="22" t="str">
        <x:v>МУ 19</x:v>
      </x:c>
      <x:c r="C41" s="29" t="n">
        <x:v>3.5</x:v>
      </x:c>
      <x:c r="D41" s="22" t="str">
        <x:v>Прямоугольник</x:v>
      </x:c>
      <x:c r="E41" s="22" t="n">
        <x:v>200</x:v>
      </x:c>
      <x:c r="F41" s="22" t="n">
        <x:v>100</x:v>
      </x:c>
      <x:c r="G41" s="49" t="n">
        <x:v>23.5788</x:v>
      </x:c>
      <x:c r="H41" s="49" t="n">
        <x:v>6.3609</x:v>
      </x:c>
      <x:c r="I41" s="22" t="str">
        <x:v>Л.20, PDF21</x:v>
      </x:c>
      <x:c r="J41" s="22" t="str">
        <x:v>Габарит по размерным подписям и векторной графике; привязка P2. Не ведомость всех отверстий этажа.</x:v>
      </x:c>
    </x:row>
    <x:row r="42" ht="46" customHeight="1">
      <x:c r="A42" s="26" t="str">
        <x:v>F2_MU19_H04</x:v>
      </x:c>
      <x:c r="B42" s="26" t="str">
        <x:v>МУ 19</x:v>
      </x:c>
      <x:c r="C42" s="28" t="n">
        <x:v>3.5</x:v>
      </x:c>
      <x:c r="D42" s="26" t="str">
        <x:v>Прямоугольник</x:v>
      </x:c>
      <x:c r="E42" s="26" t="n">
        <x:v>1050</x:v>
      </x:c>
      <x:c r="F42" s="26" t="n">
        <x:v>300</x:v>
      </x:c>
      <x:c r="G42" s="48" t="n">
        <x:v>22.802</x:v>
      </x:c>
      <x:c r="H42" s="48" t="n">
        <x:v>5.7661</x:v>
      </x:c>
      <x:c r="I42" s="26" t="str">
        <x:v>Л.20, PDF21</x:v>
      </x:c>
      <x:c r="J42" s="26" t="str">
        <x:v>Габарит по размерным подписям и векторной графике; привязка P2. Не ведомость всех отверстий этажа.</x:v>
      </x:c>
    </x:row>
    <x:row r="43" ht="46" customHeight="1">
      <x:c r="A43" s="22" t="str">
        <x:v>F2_MU19_H05</x:v>
      </x:c>
      <x:c r="B43" s="22" t="str">
        <x:v>МУ 19</x:v>
      </x:c>
      <x:c r="C43" s="29" t="n">
        <x:v>3.5</x:v>
      </x:c>
      <x:c r="D43" s="22" t="str">
        <x:v>Прямоугольник</x:v>
      </x:c>
      <x:c r="E43" s="22" t="n">
        <x:v>1400</x:v>
      </x:c>
      <x:c r="F43" s="22" t="n">
        <x:v>600</x:v>
      </x:c>
      <x:c r="G43" s="49" t="n">
        <x:v>18.899</x:v>
      </x:c>
      <x:c r="H43" s="49" t="n">
        <x:v>5.8973</x:v>
      </x:c>
      <x:c r="I43" s="22" t="str">
        <x:v>Л.20, PDF21</x:v>
      </x:c>
      <x:c r="J43" s="22" t="str">
        <x:v>Габарит по размерным подписям и векторной графике; привязка P2. Не ведомость всех отверстий этажа.</x:v>
      </x:c>
    </x:row>
    <x:row r="44" ht="46" customHeight="1">
      <x:c r="A44" s="26" t="str">
        <x:v>F2_MU20_H01</x:v>
      </x:c>
      <x:c r="B44" s="26" t="str">
        <x:v>МУ 20</x:v>
      </x:c>
      <x:c r="C44" s="28" t="n">
        <x:v>3.5</x:v>
      </x:c>
      <x:c r="D44" s="26" t="str">
        <x:v>Прямоугольник</x:v>
      </x:c>
      <x:c r="E44" s="26" t="n">
        <x:v>400</x:v>
      </x:c>
      <x:c r="F44" s="26" t="n">
        <x:v>400</x:v>
      </x:c>
      <x:c r="G44" s="48" t="n">
        <x:v>12.6487</x:v>
      </x:c>
      <x:c r="H44" s="48" t="n">
        <x:v>5.9968</x:v>
      </x:c>
      <x:c r="I44" s="26" t="str">
        <x:v>Л.20, PDF21</x:v>
      </x:c>
      <x:c r="J44" s="26" t="str">
        <x:v>Габарит по размерным подписям и векторной графике; привязка P2. Не ведомость всех отверстий этажа.</x:v>
      </x:c>
    </x:row>
    <x:row r="45" ht="46" customHeight="1">
      <x:c r="A45" s="22" t="str">
        <x:v>F2_MU20_H02</x:v>
      </x:c>
      <x:c r="B45" s="22" t="str">
        <x:v>МУ 20</x:v>
      </x:c>
      <x:c r="C45" s="29" t="n">
        <x:v>3.5</x:v>
      </x:c>
      <x:c r="D45" s="22" t="str">
        <x:v>Прямоугольник</x:v>
      </x:c>
      <x:c r="E45" s="22" t="n">
        <x:v>900</x:v>
      </x:c>
      <x:c r="F45" s="22" t="n">
        <x:v>700</x:v>
      </x:c>
      <x:c r="G45" s="49" t="n">
        <x:v>16.5475</x:v>
      </x:c>
      <x:c r="H45" s="49" t="n">
        <x:v>5.9862</x:v>
      </x:c>
      <x:c r="I45" s="22" t="str">
        <x:v>Л.20, PDF21</x:v>
      </x:c>
      <x:c r="J45" s="22" t="str">
        <x:v>Габарит по размерным подписям и векторной графике; привязка P2. Не ведомость всех отверстий этажа.</x:v>
      </x:c>
    </x:row>
    <x:row r="46" ht="46" customHeight="1">
      <x:c r="A46" s="26" t="str">
        <x:v>F2_MU20_H03</x:v>
      </x:c>
      <x:c r="B46" s="26" t="str">
        <x:v>МУ 20</x:v>
      </x:c>
      <x:c r="C46" s="28" t="n">
        <x:v>3.5</x:v>
      </x:c>
      <x:c r="D46" s="26" t="str">
        <x:v>Круг</x:v>
      </x:c>
      <x:c r="E46" s="26" t="n">
        <x:v>150</x:v>
      </x:c>
      <x:c r="F46" s="26" t="n">
        <x:v>150</x:v>
      </x:c>
      <x:c r="G46" s="48" t="n">
        <x:v>13.9314</x:v>
      </x:c>
      <x:c r="H46" s="48" t="n">
        <x:v>6.2995</x:v>
      </x:c>
      <x:c r="I46" s="26" t="str">
        <x:v>Л.20, PDF21</x:v>
      </x:c>
      <x:c r="J46" s="26" t="str">
        <x:v>Диаметр по подписи плана; центр оцифрован.</x:v>
      </x:c>
    </x:row>
    <x:row r="47" ht="46" customHeight="1">
      <x:c r="A47" s="22" t="str">
        <x:v>F2_MU20_H04</x:v>
      </x:c>
      <x:c r="B47" s="22" t="str">
        <x:v>МУ 20</x:v>
      </x:c>
      <x:c r="C47" s="29" t="n">
        <x:v>3.5</x:v>
      </x:c>
      <x:c r="D47" s="22" t="str">
        <x:v>Круг</x:v>
      </x:c>
      <x:c r="E47" s="22" t="n">
        <x:v>150</x:v>
      </x:c>
      <x:c r="F47" s="22" t="n">
        <x:v>150</x:v>
      </x:c>
      <x:c r="G47" s="49" t="n">
        <x:v>14.1303</x:v>
      </x:c>
      <x:c r="H47" s="49" t="n">
        <x:v>6.2995</x:v>
      </x:c>
      <x:c r="I47" s="22" t="str">
        <x:v>Л.20, PDF21</x:v>
      </x:c>
      <x:c r="J47" s="22" t="str">
        <x:v>Диаметр по подписи плана; центр оцифрован.</x:v>
      </x:c>
    </x:row>
    <x:row r="48" ht="46" customHeight="1">
      <x:c r="A48" s="26" t="str">
        <x:v>F2_MU21_H01</x:v>
      </x:c>
      <x:c r="B48" s="26" t="str">
        <x:v>МУ 21</x:v>
      </x:c>
      <x:c r="C48" s="28" t="n">
        <x:v>3.5</x:v>
      </x:c>
      <x:c r="D48" s="26" t="str">
        <x:v>Прямоугольник</x:v>
      </x:c>
      <x:c r="E48" s="26" t="n">
        <x:v>300</x:v>
      </x:c>
      <x:c r="F48" s="26" t="n">
        <x:v>350</x:v>
      </x:c>
      <x:c r="G48" s="48" t="n">
        <x:v>4.1993</x:v>
      </x:c>
      <x:c r="H48" s="48" t="n">
        <x:v>5.9735</x:v>
      </x:c>
      <x:c r="I48" s="26" t="str">
        <x:v>Л.20, PDF21</x:v>
      </x:c>
      <x:c r="J48" s="26" t="str">
        <x:v>Габарит по размерным подписям и векторной графике; привязка P2. Не ведомость всех отверстий этажа.</x:v>
      </x:c>
    </x:row>
    <x:row r="49" ht="46" customHeight="1">
      <x:c r="A49" s="22" t="str">
        <x:v>F2_MU21_H02</x:v>
      </x:c>
      <x:c r="B49" s="22" t="str">
        <x:v>МУ 21</x:v>
      </x:c>
      <x:c r="C49" s="29" t="n">
        <x:v>3.5</x:v>
      </x:c>
      <x:c r="D49" s="22" t="str">
        <x:v>Круг</x:v>
      </x:c>
      <x:c r="E49" s="22" t="n">
        <x:v>150</x:v>
      </x:c>
      <x:c r="F49" s="22" t="n">
        <x:v>150</x:v>
      </x:c>
      <x:c r="G49" s="49" t="n">
        <x:v>5.6301</x:v>
      </x:c>
      <x:c r="H49" s="49" t="n">
        <x:v>6.3461</x:v>
      </x:c>
      <x:c r="I49" s="22" t="str">
        <x:v>Л.20, PDF21</x:v>
      </x:c>
      <x:c r="J49" s="22" t="str">
        <x:v>Диаметр по подписи плана; центр оцифрован.</x:v>
      </x:c>
    </x:row>
    <x:row r="50" ht="46" customHeight="1">
      <x:c r="A50" s="26" t="str">
        <x:v>F2_MU22_H01</x:v>
      </x:c>
      <x:c r="B50" s="26" t="str">
        <x:v>МУ 22</x:v>
      </x:c>
      <x:c r="C50" s="28" t="n">
        <x:v>3.5</x:v>
      </x:c>
      <x:c r="D50" s="26" t="str">
        <x:v>Прямоугольник</x:v>
      </x:c>
      <x:c r="E50" s="26" t="n">
        <x:v>300</x:v>
      </x:c>
      <x:c r="F50" s="26" t="n">
        <x:v>270</x:v>
      </x:c>
      <x:c r="G50" s="48" t="n">
        <x:v>8.1954</x:v>
      </x:c>
      <x:c r="H50" s="48" t="n">
        <x:v>11.6317</x:v>
      </x:c>
      <x:c r="I50" s="26" t="str">
        <x:v>Л.20, PDF21</x:v>
      </x:c>
      <x:c r="J50" s="26" t="str">
        <x:v>Габарит по размерным подписям и векторной графике; привязка P2. Не ведомость всех отверстий этажа.</x:v>
      </x:c>
    </x:row>
    <x:row r="51" ht="46" customHeight="1">
      <x:c r="A51" s="22" t="str">
        <x:v>F2_MU23_H01</x:v>
      </x:c>
      <x:c r="B51" s="22" t="str">
        <x:v>МУ 23</x:v>
      </x:c>
      <x:c r="C51" s="29" t="n">
        <x:v>4.7</x:v>
      </x:c>
      <x:c r="D51" s="22" t="str">
        <x:v>Прямоугольник</x:v>
      </x:c>
      <x:c r="E51" s="22" t="n">
        <x:v>800</x:v>
      </x:c>
      <x:c r="F51" s="22" t="n">
        <x:v>550</x:v>
      </x:c>
      <x:c r="G51" s="49" t="n">
        <x:v>9.4188</x:v>
      </x:c>
      <x:c r="H51" s="49" t="n">
        <x:v>12.4742</x:v>
      </x:c>
      <x:c r="I51" s="22" t="str">
        <x:v>Л.20, PDF21</x:v>
      </x:c>
      <x:c r="J51" s="22" t="str">
        <x:v>Габарит по размерным подписям и векторной графике; привязка P2. Не ведомость всех отверстий этажа.</x:v>
      </x:c>
    </x:row>
    <x:row r="52" ht="46" customHeight="1">
      <x:c r="A52" s="26" t="str">
        <x:v>F3_MU04_H01</x:v>
      </x:c>
      <x:c r="B52" s="26" t="str">
        <x:v>МУ 4</x:v>
      </x:c>
      <x:c r="C52" s="28" t="n">
        <x:v>7.1</x:v>
      </x:c>
      <x:c r="D52" s="26" t="str">
        <x:v>Прямоугольник</x:v>
      </x:c>
      <x:c r="E52" s="26" t="n">
        <x:v>1000</x:v>
      </x:c>
      <x:c r="F52" s="26" t="n">
        <x:v>600</x:v>
      </x:c>
      <x:c r="G52" s="48" t="n">
        <x:v>11.2285</x:v>
      </x:c>
      <x:c r="H52" s="48" t="n">
        <x:v>39.032</x:v>
      </x:c>
      <x:c r="I52" s="26" t="str">
        <x:v>Л.21, PDF22</x:v>
      </x:c>
      <x:c r="J52" s="26" t="str">
        <x:v>Габарит по размерным подписям и векторной графике; привязка P2. Не ведомость всех отверстий этажа.</x:v>
      </x:c>
    </x:row>
    <x:row r="53" ht="46" customHeight="1">
      <x:c r="A53" s="22" t="str">
        <x:v>F3_MU24_H01</x:v>
      </x:c>
      <x:c r="B53" s="22" t="str">
        <x:v>МУ 24</x:v>
      </x:c>
      <x:c r="C53" s="29" t="n">
        <x:v>7.1</x:v>
      </x:c>
      <x:c r="D53" s="22" t="str">
        <x:v>Прямоугольник</x:v>
      </x:c>
      <x:c r="E53" s="22" t="n">
        <x:v>1800</x:v>
      </x:c>
      <x:c r="F53" s="22" t="n">
        <x:v>800</x:v>
      </x:c>
      <x:c r="G53" s="49" t="n">
        <x:v>1.1493</x:v>
      </x:c>
      <x:c r="H53" s="49" t="n">
        <x:v>42.0101</x:v>
      </x:c>
      <x:c r="I53" s="22" t="str">
        <x:v>Л.21, PDF22</x:v>
      </x:c>
      <x:c r="J53" s="22" t="str">
        <x:v>Габарит по размерным подписям и векторной графике; привязка P2. Не ведомость всех отверстий этажа.</x:v>
      </x:c>
    </x:row>
    <x:row r="54" ht="46" customHeight="1">
      <x:c r="A54" s="26" t="str">
        <x:v>F3_MU25_H01</x:v>
      </x:c>
      <x:c r="B54" s="26" t="str">
        <x:v>МУ 25</x:v>
      </x:c>
      <x:c r="C54" s="28" t="n">
        <x:v>7.1</x:v>
      </x:c>
      <x:c r="D54" s="26" t="str">
        <x:v>Прямоугольник</x:v>
      </x:c>
      <x:c r="E54" s="26" t="n">
        <x:v>1200</x:v>
      </x:c>
      <x:c r="F54" s="26" t="n">
        <x:v>800</x:v>
      </x:c>
      <x:c r="G54" s="48" t="n">
        <x:v>12.854</x:v>
      </x:c>
      <x:c r="H54" s="48" t="n">
        <x:v>41.9974</x:v>
      </x:c>
      <x:c r="I54" s="26" t="str">
        <x:v>Л.21, PDF22</x:v>
      </x:c>
      <x:c r="J54" s="26" t="str">
        <x:v>Габарит по размерным подписям и векторной графике; привязка P2. Не ведомость всех отверстий этажа.</x:v>
      </x:c>
    </x:row>
    <x:row r="55" ht="46" customHeight="1">
      <x:c r="A55" s="22" t="str">
        <x:v>F3_MU25_H02</x:v>
      </x:c>
      <x:c r="B55" s="22" t="str">
        <x:v>МУ 25</x:v>
      </x:c>
      <x:c r="C55" s="29" t="n">
        <x:v>7.1</x:v>
      </x:c>
      <x:c r="D55" s="22" t="str">
        <x:v>Прямоугольник</x:v>
      </x:c>
      <x:c r="E55" s="22" t="n">
        <x:v>400</x:v>
      </x:c>
      <x:c r="F55" s="22" t="n">
        <x:v>400</x:v>
      </x:c>
      <x:c r="G55" s="49" t="n">
        <x:v>13.7578</x:v>
      </x:c>
      <x:c r="H55" s="49" t="n">
        <x:v>42.1963</x:v>
      </x:c>
      <x:c r="I55" s="22" t="str">
        <x:v>Л.21, PDF22</x:v>
      </x:c>
      <x:c r="J55" s="22" t="str">
        <x:v>Габарит по размерным подписям и векторной графике; привязка P2. Не ведомость всех отверстий этажа.</x:v>
      </x:c>
    </x:row>
    <x:row r="56" ht="46" customHeight="1">
      <x:c r="A56" s="26" t="str">
        <x:v>F3_MU25_H03</x:v>
      </x:c>
      <x:c r="B56" s="26" t="str">
        <x:v>МУ 25</x:v>
      </x:c>
      <x:c r="C56" s="28" t="n">
        <x:v>7.1</x:v>
      </x:c>
      <x:c r="D56" s="26" t="str">
        <x:v>Прямоугольник</x:v>
      </x:c>
      <x:c r="E56" s="26" t="n">
        <x:v>800</x:v>
      </x:c>
      <x:c r="F56" s="26" t="n">
        <x:v>500</x:v>
      </x:c>
      <x:c r="G56" s="48" t="n">
        <x:v>16.3782</x:v>
      </x:c>
      <x:c r="H56" s="48" t="n">
        <x:v>41.9656</x:v>
      </x:c>
      <x:c r="I56" s="26" t="str">
        <x:v>Л.21, PDF22</x:v>
      </x:c>
      <x:c r="J56" s="26" t="str">
        <x:v>Габарит по размерным подписям и векторной графике; привязка P2. Не ведомость всех отверстий этажа.</x:v>
      </x:c>
    </x:row>
    <x:row r="57" ht="46" customHeight="1">
      <x:c r="A57" s="22" t="str">
        <x:v>F3_MU25_H04</x:v>
      </x:c>
      <x:c r="B57" s="22" t="str">
        <x:v>МУ 25</x:v>
      </x:c>
      <x:c r="C57" s="29" t="n">
        <x:v>7.1</x:v>
      </x:c>
      <x:c r="D57" s="22" t="str">
        <x:v>Круг</x:v>
      </x:c>
      <x:c r="E57" s="22" t="n">
        <x:v>100</x:v>
      </x:c>
      <x:c r="F57" s="22" t="n">
        <x:v>100</x:v>
      </x:c>
      <x:c r="G57" s="49" t="n">
        <x:v>14.0838</x:v>
      </x:c>
      <x:c r="H57" s="49" t="n">
        <x:v>41.646</x:v>
      </x:c>
      <x:c r="I57" s="22" t="str">
        <x:v>Л.21, PDF22</x:v>
      </x:c>
      <x:c r="J57" s="22" t="str">
        <x:v>Диаметр по подписи плана; центр оцифрован.</x:v>
      </x:c>
    </x:row>
    <x:row r="58" ht="46" customHeight="1">
      <x:c r="A58" s="26" t="str">
        <x:v>F3_MU25_H05</x:v>
      </x:c>
      <x:c r="B58" s="26" t="str">
        <x:v>МУ 25</x:v>
      </x:c>
      <x:c r="C58" s="28" t="n">
        <x:v>7.1</x:v>
      </x:c>
      <x:c r="D58" s="26" t="str">
        <x:v>Круг</x:v>
      </x:c>
      <x:c r="E58" s="26" t="n">
        <x:v>100</x:v>
      </x:c>
      <x:c r="F58" s="26" t="n">
        <x:v>100</x:v>
      </x:c>
      <x:c r="G58" s="48" t="n">
        <x:v>17.2417</x:v>
      </x:c>
      <x:c r="H58" s="48" t="n">
        <x:v>41.6121</x:v>
      </x:c>
      <x:c r="I58" s="26" t="str">
        <x:v>Л.21, PDF22</x:v>
      </x:c>
      <x:c r="J58" s="26" t="str">
        <x:v>Диаметр по подписи плана; центр оцифрован.</x:v>
      </x:c>
    </x:row>
    <x:row r="59" ht="46" customHeight="1">
      <x:c r="A59" s="22" t="str">
        <x:v>F3_MU06_H01</x:v>
      </x:c>
      <x:c r="B59" s="22" t="str">
        <x:v>МУ 6</x:v>
      </x:c>
      <x:c r="C59" s="29" t="n">
        <x:v>7.1</x:v>
      </x:c>
      <x:c r="D59" s="22" t="str">
        <x:v>Прямоугольник</x:v>
      </x:c>
      <x:c r="E59" s="22" t="n">
        <x:v>200</x:v>
      </x:c>
      <x:c r="F59" s="22" t="n">
        <x:v>200</x:v>
      </x:c>
      <x:c r="G59" s="49" t="n">
        <x:v>19.1001</x:v>
      </x:c>
      <x:c r="H59" s="49" t="n">
        <x:v>41.646</x:v>
      </x:c>
      <x:c r="I59" s="22" t="str">
        <x:v>Л.21, PDF22</x:v>
      </x:c>
      <x:c r="J59" s="22" t="str">
        <x:v>Габарит по размерным подписям и векторной графике; привязка P2. Не ведомость всех отверстий этажа.</x:v>
      </x:c>
    </x:row>
    <x:row r="60" ht="46" customHeight="1">
      <x:c r="A60" s="26" t="str">
        <x:v>F3_MU06_H02</x:v>
      </x:c>
      <x:c r="B60" s="26" t="str">
        <x:v>МУ 6</x:v>
      </x:c>
      <x:c r="C60" s="28" t="n">
        <x:v>7.1</x:v>
      </x:c>
      <x:c r="D60" s="26" t="str">
        <x:v>Прямоугольник</x:v>
      </x:c>
      <x:c r="E60" s="26" t="n">
        <x:v>1500</x:v>
      </x:c>
      <x:c r="F60" s="26" t="n">
        <x:v>600</x:v>
      </x:c>
      <x:c r="G60" s="48" t="n">
        <x:v>22.7046</x:v>
      </x:c>
      <x:c r="H60" s="48" t="n">
        <x:v>42.0968</x:v>
      </x:c>
      <x:c r="I60" s="26" t="str">
        <x:v>Л.21, PDF22</x:v>
      </x:c>
      <x:c r="J60" s="26" t="str">
        <x:v>Габарит по размерным подписям и векторной графике; привязка P2. Не ведомость всех отверстий этажа.</x:v>
      </x:c>
    </x:row>
    <x:row r="61" ht="46" customHeight="1">
      <x:c r="A61" s="22" t="str">
        <x:v>F3_MU06_H03</x:v>
      </x:c>
      <x:c r="B61" s="22" t="str">
        <x:v>МУ 6</x:v>
      </x:c>
      <x:c r="C61" s="29" t="n">
        <x:v>7.1</x:v>
      </x:c>
      <x:c r="D61" s="22" t="str">
        <x:v>Круг</x:v>
      </x:c>
      <x:c r="E61" s="22" t="n">
        <x:v>150</x:v>
      </x:c>
      <x:c r="F61" s="22" t="n">
        <x:v>150</x:v>
      </x:c>
      <x:c r="G61" s="49" t="n">
        <x:v>19.261</x:v>
      </x:c>
      <x:c r="H61" s="49" t="n">
        <x:v>41.6629</x:v>
      </x:c>
      <x:c r="I61" s="22" t="str">
        <x:v>Л.21, PDF22</x:v>
      </x:c>
      <x:c r="J61" s="22" t="str">
        <x:v>Диаметр по подписи плана; центр оцифрован.</x:v>
      </x:c>
    </x:row>
    <x:row r="62" ht="46" customHeight="1">
      <x:c r="A62" s="26" t="str">
        <x:v>F3_MU07_H01</x:v>
      </x:c>
      <x:c r="B62" s="26" t="str">
        <x:v>МУ 7</x:v>
      </x:c>
      <x:c r="C62" s="28" t="n">
        <x:v>7.1</x:v>
      </x:c>
      <x:c r="D62" s="26" t="str">
        <x:v>Прямоугольник</x:v>
      </x:c>
      <x:c r="E62" s="26" t="n">
        <x:v>700</x:v>
      </x:c>
      <x:c r="F62" s="26" t="n">
        <x:v>400</x:v>
      </x:c>
      <x:c r="G62" s="48" t="n">
        <x:v>25.0795</x:v>
      </x:c>
      <x:c r="H62" s="48" t="n">
        <x:v>41.9974</x:v>
      </x:c>
      <x:c r="I62" s="26" t="str">
        <x:v>Л.21, PDF22</x:v>
      </x:c>
      <x:c r="J62" s="26" t="str">
        <x:v>Габарит по размерным подписям и векторной графике; привязка P2. Не ведомость всех отверстий этажа.</x:v>
      </x:c>
    </x:row>
    <x:row r="63" ht="46" customHeight="1">
      <x:c r="A63" s="22" t="str">
        <x:v>F3_MU26_H01</x:v>
      </x:c>
      <x:c r="B63" s="22" t="str">
        <x:v>МУ 26</x:v>
      </x:c>
      <x:c r="C63" s="29" t="n">
        <x:v>7.1</x:v>
      </x:c>
      <x:c r="D63" s="22" t="str">
        <x:v>Прямоугольник</x:v>
      </x:c>
      <x:c r="E63" s="22" t="n">
        <x:v>600</x:v>
      </x:c>
      <x:c r="F63" s="22" t="n">
        <x:v>160</x:v>
      </x:c>
      <x:c r="G63" s="49" t="n">
        <x:v>33.4992</x:v>
      </x:c>
      <x:c r="H63" s="49" t="n">
        <x:v>42.2958</x:v>
      </x:c>
      <x:c r="I63" s="22" t="str">
        <x:v>Л.21, PDF22</x:v>
      </x:c>
      <x:c r="J63" s="22" t="str">
        <x:v>Габарит по размерным подписям и векторной графике; привязка P2. Не ведомость всех отверстий этажа.</x:v>
      </x:c>
    </x:row>
    <x:row r="64" ht="46" customHeight="1">
      <x:c r="A64" s="26" t="str">
        <x:v>F3_MU28_H01</x:v>
      </x:c>
      <x:c r="B64" s="26" t="str">
        <x:v>МУ 28</x:v>
      </x:c>
      <x:c r="C64" s="28" t="n">
        <x:v>7.1</x:v>
      </x:c>
      <x:c r="D64" s="26" t="str">
        <x:v>Прямоугольник</x:v>
      </x:c>
      <x:c r="E64" s="26" t="n">
        <x:v>300</x:v>
      </x:c>
      <x:c r="F64" s="26" t="n">
        <x:v>300</x:v>
      </x:c>
      <x:c r="G64" s="48" t="n">
        <x:v>41.9974</x:v>
      </x:c>
      <x:c r="H64" s="48" t="n">
        <x:v>31.6091</x:v>
      </x:c>
      <x:c r="I64" s="26" t="str">
        <x:v>Л.21, PDF22</x:v>
      </x:c>
      <x:c r="J64" s="26" t="str">
        <x:v>Габарит по размерным подписям и векторной графике; привязка P2. Не ведомость всех отверстий этажа.</x:v>
      </x:c>
    </x:row>
    <x:row r="65" ht="46" customHeight="1">
      <x:c r="A65" s="22" t="str">
        <x:v>F3_MU28_H02</x:v>
      </x:c>
      <x:c r="B65" s="22" t="str">
        <x:v>МУ 28</x:v>
      </x:c>
      <x:c r="C65" s="29" t="n">
        <x:v>7.1</x:v>
      </x:c>
      <x:c r="D65" s="22" t="str">
        <x:v>Прямоугольник</x:v>
      </x:c>
      <x:c r="E65" s="22" t="n">
        <x:v>300</x:v>
      </x:c>
      <x:c r="F65" s="22" t="n">
        <x:v>300</x:v>
      </x:c>
      <x:c r="G65" s="49" t="n">
        <x:v>41.9974</x:v>
      </x:c>
      <x:c r="H65" s="49" t="n">
        <x:v>35.4063</x:v>
      </x:c>
      <x:c r="I65" s="22" t="str">
        <x:v>Л.21, PDF22</x:v>
      </x:c>
      <x:c r="J65" s="22" t="str">
        <x:v>Габарит по размерным подписям и векторной графике; привязка P2. Не ведомость всех отверстий этажа.</x:v>
      </x:c>
    </x:row>
    <x:row r="66" ht="46" customHeight="1">
      <x:c r="A66" s="26" t="str">
        <x:v>F3_MU28_H03</x:v>
      </x:c>
      <x:c r="B66" s="26" t="str">
        <x:v>МУ 28</x:v>
      </x:c>
      <x:c r="C66" s="28" t="n">
        <x:v>7.1</x:v>
      </x:c>
      <x:c r="D66" s="26" t="str">
        <x:v>Прямоугольник</x:v>
      </x:c>
      <x:c r="E66" s="26" t="n">
        <x:v>700</x:v>
      </x:c>
      <x:c r="F66" s="26" t="n">
        <x:v>800</x:v>
      </x:c>
      <x:c r="G66" s="48" t="n">
        <x:v>42.0122</x:v>
      </x:c>
      <x:c r="H66" s="48" t="n">
        <x:v>34.7121</x:v>
      </x:c>
      <x:c r="I66" s="26" t="str">
        <x:v>Л.21, PDF22</x:v>
      </x:c>
      <x:c r="J66" s="26" t="str">
        <x:v>Габарит по размерным подписям и векторной графике; привязка P2. Не ведомость всех отверстий этажа.</x:v>
      </x:c>
    </x:row>
    <x:row r="67" ht="46" customHeight="1">
      <x:c r="A67" s="22" t="str">
        <x:v>F3_MU28_H04</x:v>
      </x:c>
      <x:c r="B67" s="22" t="str">
        <x:v>МУ 28</x:v>
      </x:c>
      <x:c r="C67" s="29" t="n">
        <x:v>7.1</x:v>
      </x:c>
      <x:c r="D67" s="22" t="str">
        <x:v>Круг</x:v>
      </x:c>
      <x:c r="E67" s="22" t="n">
        <x:v>100</x:v>
      </x:c>
      <x:c r="F67" s="22" t="n">
        <x:v>100</x:v>
      </x:c>
      <x:c r="G67" s="49" t="n">
        <x:v>41.7307</x:v>
      </x:c>
      <x:c r="H67" s="49" t="n">
        <x:v>31.2747</x:v>
      </x:c>
      <x:c r="I67" s="22" t="str">
        <x:v>Л.21, PDF22</x:v>
      </x:c>
      <x:c r="J67" s="22" t="str">
        <x:v>Диаметр по подписи плана; центр оцифрован.</x:v>
      </x:c>
    </x:row>
    <x:row r="68" ht="46" customHeight="1">
      <x:c r="A68" s="26" t="str">
        <x:v>F3_MU28_H05</x:v>
      </x:c>
      <x:c r="B68" s="26" t="str">
        <x:v>МУ 28</x:v>
      </x:c>
      <x:c r="C68" s="28" t="n">
        <x:v>7.1</x:v>
      </x:c>
      <x:c r="D68" s="26" t="str">
        <x:v>Круг</x:v>
      </x:c>
      <x:c r="E68" s="26" t="n">
        <x:v>150</x:v>
      </x:c>
      <x:c r="F68" s="26" t="n">
        <x:v>150</x:v>
      </x:c>
      <x:c r="G68" s="48" t="n">
        <x:v>42.3148</x:v>
      </x:c>
      <x:c r="H68" s="48" t="n">
        <x:v>34.039</x:v>
      </x:c>
      <x:c r="I68" s="26" t="str">
        <x:v>Л.21, PDF22</x:v>
      </x:c>
      <x:c r="J68" s="26" t="str">
        <x:v>Диаметр по подписи плана; центр оцифрован.</x:v>
      </x:c>
    </x:row>
    <x:row r="69" ht="46" customHeight="1">
      <x:c r="A69" s="22" t="str">
        <x:v>F3_MU28_H06</x:v>
      </x:c>
      <x:c r="B69" s="22" t="str">
        <x:v>МУ 28</x:v>
      </x:c>
      <x:c r="C69" s="29" t="n">
        <x:v>7.1</x:v>
      </x:c>
      <x:c r="D69" s="22" t="str">
        <x:v>Прямоугольник</x:v>
      </x:c>
      <x:c r="E69" s="22" t="n">
        <x:v>200</x:v>
      </x:c>
      <x:c r="F69" s="22" t="n">
        <x:v>200</x:v>
      </x:c>
      <x:c r="G69" s="49" t="n">
        <x:v>41.9974</x:v>
      </x:c>
      <x:c r="H69" s="49" t="n">
        <x:v>35.6561</x:v>
      </x:c>
      <x:c r="I69" s="22" t="str">
        <x:v>Л.21, PDF22</x:v>
      </x:c>
      <x:c r="J69" s="22" t="str">
        <x:v>Габарит по размерным подписям и векторной графике; привязка P2. Не ведомость всех отверстий этажа.</x:v>
      </x:c>
    </x:row>
    <x:row r="70" ht="46" customHeight="1">
      <x:c r="A70" s="26" t="str">
        <x:v>F3_MU29_H01</x:v>
      </x:c>
      <x:c r="B70" s="26" t="str">
        <x:v>МУ 29</x:v>
      </x:c>
      <x:c r="C70" s="28" t="n">
        <x:v>7.1</x:v>
      </x:c>
      <x:c r="D70" s="26" t="str">
        <x:v>Прямоугольник</x:v>
      </x:c>
      <x:c r="E70" s="26" t="n">
        <x:v>600</x:v>
      </x:c>
      <x:c r="F70" s="26" t="n">
        <x:v>1200</x:v>
      </x:c>
      <x:c r="G70" s="48" t="n">
        <x:v>42.0037</x:v>
      </x:c>
      <x:c r="H70" s="48" t="n">
        <x:v>24.8022</x:v>
      </x:c>
      <x:c r="I70" s="26" t="str">
        <x:v>Л.21, PDF22</x:v>
      </x:c>
      <x:c r="J70" s="26" t="str">
        <x:v>Габарит по размерным подписям и векторной графике; привязка P2. Не ведомость всех отверстий этажа.</x:v>
      </x:c>
    </x:row>
    <x:row r="71" ht="46" customHeight="1">
      <x:c r="A71" s="22" t="str">
        <x:v>F3_MU29_H02</x:v>
      </x:c>
      <x:c r="B71" s="22" t="str">
        <x:v>МУ 29</x:v>
      </x:c>
      <x:c r="C71" s="29" t="n">
        <x:v>7.1</x:v>
      </x:c>
      <x:c r="D71" s="22" t="str">
        <x:v>Прямоугольник</x:v>
      </x:c>
      <x:c r="E71" s="22" t="n">
        <x:v>640</x:v>
      </x:c>
      <x:c r="F71" s="22" t="n">
        <x:v>300</x:v>
      </x:c>
      <x:c r="G71" s="49" t="n">
        <x:v>41.9825</x:v>
      </x:c>
      <x:c r="H71" s="49" t="n">
        <x:v>25.6742</x:v>
      </x:c>
      <x:c r="I71" s="22" t="str">
        <x:v>Л.21, PDF22</x:v>
      </x:c>
      <x:c r="J71" s="22" t="str">
        <x:v>Габарит по размерным подписям и векторной графике; привязка P2. Не ведомость всех отверстий этажа.</x:v>
      </x:c>
    </x:row>
    <x:row r="72" ht="46" customHeight="1">
      <x:c r="A72" s="26" t="str">
        <x:v>F3_MU29_H03</x:v>
      </x:c>
      <x:c r="B72" s="26" t="str">
        <x:v>МУ 29</x:v>
      </x:c>
      <x:c r="C72" s="28" t="n">
        <x:v>7.1</x:v>
      </x:c>
      <x:c r="D72" s="26" t="str">
        <x:v>Круг</x:v>
      </x:c>
      <x:c r="E72" s="26" t="n">
        <x:v>150</x:v>
      </x:c>
      <x:c r="F72" s="26" t="n">
        <x:v>150</x:v>
      </x:c>
      <x:c r="G72" s="48" t="n">
        <x:v>42.2302</x:v>
      </x:c>
      <x:c r="H72" s="48" t="n">
        <x:v>26.0213</x:v>
      </x:c>
      <x:c r="I72" s="26" t="str">
        <x:v>Л.21, PDF22</x:v>
      </x:c>
      <x:c r="J72" s="26" t="str">
        <x:v>Диаметр по подписи плана; центр оцифрован.</x:v>
      </x:c>
    </x:row>
    <x:row r="73" ht="46" customHeight="1">
      <x:c r="A73" s="22" t="str">
        <x:v>F3_MU30_H01</x:v>
      </x:c>
      <x:c r="B73" s="22" t="str">
        <x:v>МУ 30</x:v>
      </x:c>
      <x:c r="C73" s="29" t="n">
        <x:v>7.1</x:v>
      </x:c>
      <x:c r="D73" s="22" t="str">
        <x:v>Прямоугольник</x:v>
      </x:c>
      <x:c r="E73" s="22" t="n">
        <x:v>400</x:v>
      </x:c>
      <x:c r="F73" s="22" t="n">
        <x:v>950</x:v>
      </x:c>
      <x:c r="G73" s="49" t="n">
        <x:v>42.0482</x:v>
      </x:c>
      <x:c r="H73" s="49" t="n">
        <x:v>22.9502</x:v>
      </x:c>
      <x:c r="I73" s="22" t="str">
        <x:v>Л.21, PDF22</x:v>
      </x:c>
      <x:c r="J73" s="22" t="str">
        <x:v>Габарит по размерным подписям и векторной графике; привязка P2. Не ведомость всех отверстий этажа.</x:v>
      </x:c>
    </x:row>
    <x:row r="74" ht="46" customHeight="1">
      <x:c r="A74" s="26" t="str">
        <x:v>F3_MU30_H02</x:v>
      </x:c>
      <x:c r="B74" s="26" t="str">
        <x:v>МУ 30</x:v>
      </x:c>
      <x:c r="C74" s="28" t="n">
        <x:v>7.1</x:v>
      </x:c>
      <x:c r="D74" s="26" t="str">
        <x:v>Круг</x:v>
      </x:c>
      <x:c r="E74" s="26" t="n">
        <x:v>150</x:v>
      </x:c>
      <x:c r="F74" s="26" t="n">
        <x:v>150</x:v>
      </x:c>
      <x:c r="G74" s="48" t="n">
        <x:v>41.6714</x:v>
      </x:c>
      <x:c r="H74" s="48" t="n">
        <x:v>18.3762</x:v>
      </x:c>
      <x:c r="I74" s="26" t="str">
        <x:v>Л.21, PDF22</x:v>
      </x:c>
      <x:c r="J74" s="26" t="str">
        <x:v>Диаметр по подписи плана; центр оцифрован.</x:v>
      </x:c>
    </x:row>
    <x:row r="75" ht="46" customHeight="1">
      <x:c r="A75" s="22" t="str">
        <x:v>F3_MU30_H03</x:v>
      </x:c>
      <x:c r="B75" s="22" t="str">
        <x:v>МУ 30</x:v>
      </x:c>
      <x:c r="C75" s="29" t="n">
        <x:v>7.1</x:v>
      </x:c>
      <x:c r="D75" s="22" t="str">
        <x:v>Круг</x:v>
      </x:c>
      <x:c r="E75" s="22" t="n">
        <x:v>50</x:v>
      </x:c>
      <x:c r="F75" s="22" t="n">
        <x:v>50</x:v>
      </x:c>
      <x:c r="G75" s="49" t="n">
        <x:v>41.6206</x:v>
      </x:c>
      <x:c r="H75" s="49" t="n">
        <x:v>18.2873</x:v>
      </x:c>
      <x:c r="I75" s="22" t="str">
        <x:v>Л.21, PDF22</x:v>
      </x:c>
      <x:c r="J75" s="22" t="str">
        <x:v>Диаметр по подписи плана; центр оцифрован.</x:v>
      </x:c>
    </x:row>
    <x:row r="76" ht="46" customHeight="1">
      <x:c r="A76" s="26" t="str">
        <x:v>F3_MU14_H01</x:v>
      </x:c>
      <x:c r="B76" s="26" t="str">
        <x:v>МУ 14</x:v>
      </x:c>
      <x:c r="C76" s="28" t="n">
        <x:v>7.1</x:v>
      </x:c>
      <x:c r="D76" s="26" t="str">
        <x:v>Круг</x:v>
      </x:c>
      <x:c r="E76" s="26" t="n">
        <x:v>150</x:v>
      </x:c>
      <x:c r="F76" s="26" t="n">
        <x:v>150</x:v>
      </x:c>
      <x:c r="G76" s="48" t="n">
        <x:v>41.7391</x:v>
      </x:c>
      <x:c r="H76" s="48" t="n">
        <x:v>13.0001</x:v>
      </x:c>
      <x:c r="I76" s="26" t="str">
        <x:v>Л.21, PDF22</x:v>
      </x:c>
      <x:c r="J76" s="26" t="str">
        <x:v>Диаметр по подписи плана; центр оцифрован.</x:v>
      </x:c>
    </x:row>
    <x:row r="77" ht="46" customHeight="1">
      <x:c r="A77" s="22" t="str">
        <x:v>F3_MU31_H01</x:v>
      </x:c>
      <x:c r="B77" s="22" t="str">
        <x:v>МУ 31</x:v>
      </x:c>
      <x:c r="C77" s="29" t="n">
        <x:v>7.1</x:v>
      </x:c>
      <x:c r="D77" s="22" t="str">
        <x:v>Круг</x:v>
      </x:c>
      <x:c r="E77" s="22" t="n">
        <x:v>150</x:v>
      </x:c>
      <x:c r="F77" s="22" t="n">
        <x:v>150</x:v>
      </x:c>
      <x:c r="G77" s="49" t="n">
        <x:v>41.6841</x:v>
      </x:c>
      <x:c r="H77" s="49" t="n">
        <x:v>11.6285</x:v>
      </x:c>
      <x:c r="I77" s="22" t="str">
        <x:v>Л.21, PDF22</x:v>
      </x:c>
      <x:c r="J77" s="22" t="str">
        <x:v>Диаметр по подписи плана; центр оцифрован.</x:v>
      </x:c>
    </x:row>
    <x:row r="78" ht="46" customHeight="1">
      <x:c r="A78" s="26" t="str">
        <x:v>F3_MU31_H02</x:v>
      </x:c>
      <x:c r="B78" s="26" t="str">
        <x:v>МУ 31</x:v>
      </x:c>
      <x:c r="C78" s="28" t="n">
        <x:v>7.1</x:v>
      </x:c>
      <x:c r="D78" s="26" t="str">
        <x:v>Круг</x:v>
      </x:c>
      <x:c r="E78" s="26" t="n">
        <x:v>50</x:v>
      </x:c>
      <x:c r="F78" s="26" t="n">
        <x:v>50</x:v>
      </x:c>
      <x:c r="G78" s="48" t="n">
        <x:v>41.6587</x:v>
      </x:c>
      <x:c r="H78" s="48" t="n">
        <x:v>11.7386</x:v>
      </x:c>
      <x:c r="I78" s="26" t="str">
        <x:v>Л.21, PDF22</x:v>
      </x:c>
      <x:c r="J78" s="26" t="str">
        <x:v>Диаметр по подписи плана; центр оцифрован.</x:v>
      </x:c>
    </x:row>
    <x:row r="79" ht="46" customHeight="1">
      <x:c r="A79" s="22" t="str">
        <x:v>F3_MU31_H03</x:v>
      </x:c>
      <x:c r="B79" s="22" t="str">
        <x:v>МУ 31</x:v>
      </x:c>
      <x:c r="C79" s="29" t="n">
        <x:v>7.1</x:v>
      </x:c>
      <x:c r="D79" s="22" t="str">
        <x:v>Прямоугольник</x:v>
      </x:c>
      <x:c r="E79" s="22" t="n">
        <x:v>270</x:v>
      </x:c>
      <x:c r="F79" s="22" t="n">
        <x:v>270</x:v>
      </x:c>
      <x:c r="G79" s="49" t="n">
        <x:v>38.9622</x:v>
      </x:c>
      <x:c r="H79" s="49" t="n">
        <x:v>11.5904</x:v>
      </x:c>
      <x:c r="I79" s="22" t="str">
        <x:v>Л.21, PDF22</x:v>
      </x:c>
      <x:c r="J79" s="22" t="str">
        <x:v>На плане подпись250×270, графикаоколо250×250; на детали л.35 отверстие270×270. Принят габарит детали; RFI-03.</x:v>
      </x:c>
    </x:row>
    <x:row r="80" ht="46" customHeight="1">
      <x:c r="A80" s="26" t="str">
        <x:v>F3_MU16_H01</x:v>
      </x:c>
      <x:c r="B80" s="26" t="str">
        <x:v>МУ 16</x:v>
      </x:c>
      <x:c r="C80" s="28" t="n">
        <x:v>7.1</x:v>
      </x:c>
      <x:c r="D80" s="26" t="str">
        <x:v>Круг</x:v>
      </x:c>
      <x:c r="E80" s="26" t="n">
        <x:v>150</x:v>
      </x:c>
      <x:c r="F80" s="26" t="n">
        <x:v>150</x:v>
      </x:c>
      <x:c r="G80" s="48" t="n">
        <x:v>40.338</x:v>
      </x:c>
      <x:c r="H80" s="48" t="n">
        <x:v>6.0026</x:v>
      </x:c>
      <x:c r="I80" s="26" t="str">
        <x:v>Л.21, PDF22</x:v>
      </x:c>
      <x:c r="J80" s="26" t="str">
        <x:v>Диаметр по подписи плана; центр оцифрован.</x:v>
      </x:c>
    </x:row>
    <x:row r="81" ht="46" customHeight="1">
      <x:c r="A81" s="22" t="str">
        <x:v>F3_MU16_H02</x:v>
      </x:c>
      <x:c r="B81" s="22" t="str">
        <x:v>МУ 16</x:v>
      </x:c>
      <x:c r="C81" s="29" t="n">
        <x:v>7.1</x:v>
      </x:c>
      <x:c r="D81" s="22" t="str">
        <x:v>Круг</x:v>
      </x:c>
      <x:c r="E81" s="22" t="n">
        <x:v>150</x:v>
      </x:c>
      <x:c r="F81" s="22" t="n">
        <x:v>150</x:v>
      </x:c>
      <x:c r="G81" s="49" t="n">
        <x:v>38.0012</x:v>
      </x:c>
      <x:c r="H81" s="49" t="n">
        <x:v>5.7148</x:v>
      </x:c>
      <x:c r="I81" s="22" t="str">
        <x:v>Л.21, PDF22</x:v>
      </x:c>
      <x:c r="J81" s="22" t="str">
        <x:v>Диаметр по подписи плана; центр оцифрован.</x:v>
      </x:c>
    </x:row>
    <x:row r="82" ht="46" customHeight="1">
      <x:c r="A82" s="26" t="str">
        <x:v>F3_MU16_H03</x:v>
      </x:c>
      <x:c r="B82" s="26" t="str">
        <x:v>МУ 16</x:v>
      </x:c>
      <x:c r="C82" s="28" t="n">
        <x:v>7.1</x:v>
      </x:c>
      <x:c r="D82" s="26" t="str">
        <x:v>Прямоугольник</x:v>
      </x:c>
      <x:c r="E82" s="26" t="n">
        <x:v>600</x:v>
      </x:c>
      <x:c r="F82" s="26" t="n">
        <x:v>150</x:v>
      </x:c>
      <x:c r="G82" s="48" t="n">
        <x:v>40.2173</x:v>
      </x:c>
      <x:c r="H82" s="48" t="n">
        <x:v>5.6894</x:v>
      </x:c>
      <x:c r="I82" s="26" t="str">
        <x:v>Л.21, PDF22</x:v>
      </x:c>
      <x:c r="J82" s="26" t="str">
        <x:v>Габарит по размерным подписям и векторной графике; привязка P2. Не ведомость всех отверстий этажа.</x:v>
      </x:c>
    </x:row>
    <x:row r="83" ht="46" customHeight="1">
      <x:c r="A83" s="22" t="str">
        <x:v>F3_MU17_H01</x:v>
      </x:c>
      <x:c r="B83" s="22" t="str">
        <x:v>МУ 17</x:v>
      </x:c>
      <x:c r="C83" s="29" t="n">
        <x:v>7.1</x:v>
      </x:c>
      <x:c r="D83" s="22" t="str">
        <x:v>Прямоугольник</x:v>
      </x:c>
      <x:c r="E83" s="22" t="n">
        <x:v>700</x:v>
      </x:c>
      <x:c r="F83" s="22" t="n">
        <x:v>300</x:v>
      </x:c>
      <x:c r="G83" s="49" t="n">
        <x:v>35.4486</x:v>
      </x:c>
      <x:c r="H83" s="49" t="n">
        <x:v>5.7614</x:v>
      </x:c>
      <x:c r="I83" s="22" t="str">
        <x:v>Л.21, PDF22</x:v>
      </x:c>
      <x:c r="J83" s="22" t="str">
        <x:v>Габарит по размерным подписям и векторной графике; привязка P2. Не ведомость всех отверстий этажа.</x:v>
      </x:c>
    </x:row>
    <x:row r="84" ht="46" customHeight="1">
      <x:c r="A84" s="26" t="str">
        <x:v>F3_MU17_H02</x:v>
      </x:c>
      <x:c r="B84" s="26" t="str">
        <x:v>МУ 17</x:v>
      </x:c>
      <x:c r="C84" s="28" t="n">
        <x:v>7.1</x:v>
      </x:c>
      <x:c r="D84" s="26" t="str">
        <x:v>Прямоугольник</x:v>
      </x:c>
      <x:c r="E84" s="26" t="n">
        <x:v>1900</x:v>
      </x:c>
      <x:c r="F84" s="26" t="n">
        <x:v>600</x:v>
      </x:c>
      <x:c r="G84" s="48" t="n">
        <x:v>31.5075</x:v>
      </x:c>
      <x:c r="H84" s="48" t="n">
        <x:v>5.9391</x:v>
      </x:c>
      <x:c r="I84" s="26" t="str">
        <x:v>Л.21, PDF22</x:v>
      </x:c>
      <x:c r="J84" s="26" t="str">
        <x:v>Габарит по размерным подписям и векторной графике; привязка P2. Не ведомость всех отверстий этажа.</x:v>
      </x:c>
    </x:row>
    <x:row r="85" ht="46" customHeight="1">
      <x:c r="A85" s="22" t="str">
        <x:v>F3_MU17_H03</x:v>
      </x:c>
      <x:c r="B85" s="22" t="str">
        <x:v>МУ 17</x:v>
      </x:c>
      <x:c r="C85" s="29" t="n">
        <x:v>7.1</x:v>
      </x:c>
      <x:c r="D85" s="22" t="str">
        <x:v>Круг</x:v>
      </x:c>
      <x:c r="E85" s="22" t="n">
        <x:v>100</x:v>
      </x:c>
      <x:c r="F85" s="22" t="n">
        <x:v>100</x:v>
      </x:c>
      <x:c r="G85" s="49" t="n">
        <x:v>34.8518</x:v>
      </x:c>
      <x:c r="H85" s="49" t="n">
        <x:v>6.3582</x:v>
      </x:c>
      <x:c r="I85" s="22" t="str">
        <x:v>Л.21, PDF22</x:v>
      </x:c>
      <x:c r="J85" s="22" t="str">
        <x:v>Диаметр по подписи плана; центр оцифрован.</x:v>
      </x:c>
    </x:row>
    <x:row r="86" ht="46" customHeight="1">
      <x:c r="A86" s="26" t="str">
        <x:v>F3_MU17_H04</x:v>
      </x:c>
      <x:c r="B86" s="26" t="str">
        <x:v>МУ 17</x:v>
      </x:c>
      <x:c r="C86" s="28" t="n">
        <x:v>7.1</x:v>
      </x:c>
      <x:c r="D86" s="26" t="str">
        <x:v>Прямоугольник</x:v>
      </x:c>
      <x:c r="E86" s="26" t="n">
        <x:v>150</x:v>
      </x:c>
      <x:c r="F86" s="26" t="n">
        <x:v>100</x:v>
      </x:c>
      <x:c r="G86" s="48" t="n">
        <x:v>35.7238</x:v>
      </x:c>
      <x:c r="H86" s="48" t="n">
        <x:v>6.3138</x:v>
      </x:c>
      <x:c r="I86" s="26" t="str">
        <x:v>Л.21, PDF22</x:v>
      </x:c>
      <x:c r="J86" s="26" t="str">
        <x:v>Габарит по размерным подписям и векторной графике; привязка P2. Не ведомость всех отверстий этажа.</x:v>
      </x:c>
    </x:row>
    <x:row r="87" ht="46" customHeight="1">
      <x:c r="A87" s="22" t="str">
        <x:v>F3_MU18_H01</x:v>
      </x:c>
      <x:c r="B87" s="22" t="str">
        <x:v>МУ 18</x:v>
      </x:c>
      <x:c r="C87" s="29" t="n">
        <x:v>7.1</x:v>
      </x:c>
      <x:c r="D87" s="22" t="str">
        <x:v>Прямоугольник</x:v>
      </x:c>
      <x:c r="E87" s="22" t="n">
        <x:v>1100</x:v>
      </x:c>
      <x:c r="F87" s="22" t="n">
        <x:v>600</x:v>
      </x:c>
      <x:c r="G87" s="49" t="n">
        <x:v>24.7789</x:v>
      </x:c>
      <x:c r="H87" s="49" t="n">
        <x:v>5.9391</x:v>
      </x:c>
      <x:c r="I87" s="22" t="str">
        <x:v>Л.21, PDF22</x:v>
      </x:c>
      <x:c r="J87" s="22" t="str">
        <x:v>Габарит по размерным подписям и векторной графике; привязка P2. Не ведомость всех отверстий этажа.</x:v>
      </x:c>
    </x:row>
    <x:row r="88" ht="46" customHeight="1">
      <x:c r="A88" s="26" t="str">
        <x:v>F3_MU18_H02</x:v>
      </x:c>
      <x:c r="B88" s="26" t="str">
        <x:v>МУ 18</x:v>
      </x:c>
      <x:c r="C88" s="28" t="n">
        <x:v>7.1</x:v>
      </x:c>
      <x:c r="D88" s="26" t="str">
        <x:v>Прямоугольник</x:v>
      </x:c>
      <x:c r="E88" s="26" t="n">
        <x:v>1900</x:v>
      </x:c>
      <x:c r="F88" s="26" t="n">
        <x:v>500</x:v>
      </x:c>
      <x:c r="G88" s="48" t="n">
        <x:v>28.8491</x:v>
      </x:c>
      <x:c r="H88" s="48" t="n">
        <x:v>5.8608</x:v>
      </x:c>
      <x:c r="I88" s="26" t="str">
        <x:v>Л.21, PDF22</x:v>
      </x:c>
      <x:c r="J88" s="26" t="str">
        <x:v>Габарит по размерным подписям и векторной графике; привязка P2. Не ведомость всех отверстий этажа.</x:v>
      </x:c>
    </x:row>
    <x:row r="89" ht="46" customHeight="1">
      <x:c r="A89" s="22" t="str">
        <x:v>F3_MU19_H01</x:v>
      </x:c>
      <x:c r="B89" s="22" t="str">
        <x:v>МУ 19</x:v>
      </x:c>
      <x:c r="C89" s="29" t="n">
        <x:v>7.1</x:v>
      </x:c>
      <x:c r="D89" s="22" t="str">
        <x:v>Прямоугольник</x:v>
      </x:c>
      <x:c r="E89" s="22" t="n">
        <x:v>1050</x:v>
      </x:c>
      <x:c r="F89" s="22" t="n">
        <x:v>300</x:v>
      </x:c>
      <x:c r="G89" s="49" t="n">
        <x:v>22.802</x:v>
      </x:c>
      <x:c r="H89" s="49" t="n">
        <x:v>5.7698</x:v>
      </x:c>
      <x:c r="I89" s="22" t="str">
        <x:v>Л.21, PDF22</x:v>
      </x:c>
      <x:c r="J89" s="22" t="str">
        <x:v>Габарит по размерным подписям и векторной графике; привязка P2. Не ведомость всех отверстий этажа.</x:v>
      </x:c>
    </x:row>
    <x:row r="90" ht="46" customHeight="1">
      <x:c r="A90" s="26" t="str">
        <x:v>F3_MU19_H02</x:v>
      </x:c>
      <x:c r="B90" s="26" t="str">
        <x:v>МУ 19</x:v>
      </x:c>
      <x:c r="C90" s="28" t="n">
        <x:v>7.1</x:v>
      </x:c>
      <x:c r="D90" s="26" t="str">
        <x:v>Прямоугольник</x:v>
      </x:c>
      <x:c r="E90" s="26" t="n">
        <x:v>1400</x:v>
      </x:c>
      <x:c r="F90" s="26" t="n">
        <x:v>600</x:v>
      </x:c>
      <x:c r="G90" s="48" t="n">
        <x:v>18.899</x:v>
      </x:c>
      <x:c r="H90" s="48" t="n">
        <x:v>5.8989</x:v>
      </x:c>
      <x:c r="I90" s="26" t="str">
        <x:v>Л.21, PDF22</x:v>
      </x:c>
      <x:c r="J90" s="26" t="str">
        <x:v>Габарит по размерным подписям и векторной графике; привязка P2. Не ведомость всех отверстий этажа.</x:v>
      </x:c>
    </x:row>
    <x:row r="91" ht="46" customHeight="1">
      <x:c r="A91" s="22" t="str">
        <x:v>F3_MU19_H03</x:v>
      </x:c>
      <x:c r="B91" s="22" t="str">
        <x:v>МУ 19</x:v>
      </x:c>
      <x:c r="C91" s="29" t="n">
        <x:v>7.1</x:v>
      </x:c>
      <x:c r="D91" s="22" t="str">
        <x:v>Круг</x:v>
      </x:c>
      <x:c r="E91" s="22" t="n">
        <x:v>150</x:v>
      </x:c>
      <x:c r="F91" s="22" t="n">
        <x:v>150</x:v>
      </x:c>
      <x:c r="G91" s="49" t="n">
        <x:v>23.6254</x:v>
      </x:c>
      <x:c r="H91" s="49" t="n">
        <x:v>5.7148</x:v>
      </x:c>
      <x:c r="I91" s="22" t="str">
        <x:v>Л.21, PDF22</x:v>
      </x:c>
      <x:c r="J91" s="22" t="str">
        <x:v>Диаметр по подписи плана; центр оцифрован.</x:v>
      </x:c>
    </x:row>
    <x:row r="92" ht="46" customHeight="1">
      <x:c r="A92" s="26" t="str">
        <x:v>F3_MU19_H04</x:v>
      </x:c>
      <x:c r="B92" s="26" t="str">
        <x:v>МУ 19</x:v>
      </x:c>
      <x:c r="C92" s="28" t="n">
        <x:v>7.1</x:v>
      </x:c>
      <x:c r="D92" s="26" t="str">
        <x:v>Прямоугольник</x:v>
      </x:c>
      <x:c r="E92" s="26" t="n">
        <x:v>150</x:v>
      </x:c>
      <x:c r="F92" s="26" t="n">
        <x:v>100</x:v>
      </x:c>
      <x:c r="G92" s="48" t="n">
        <x:v>23.7121</x:v>
      </x:c>
      <x:c r="H92" s="48" t="n">
        <x:v>6.3582</x:v>
      </x:c>
      <x:c r="I92" s="26" t="str">
        <x:v>Л.21, PDF22</x:v>
      </x:c>
      <x:c r="J92" s="26" t="str">
        <x:v>Габарит по размерным подписям и векторной графике; привязка P2. Не ведомость всех отверстий этажа.</x:v>
      </x:c>
    </x:row>
    <x:row r="93" ht="46" customHeight="1">
      <x:c r="A93" s="22" t="str">
        <x:v>F3_MU19_H05</x:v>
      </x:c>
      <x:c r="B93" s="22" t="str">
        <x:v>МУ 19</x:v>
      </x:c>
      <x:c r="C93" s="29" t="n">
        <x:v>7.1</x:v>
      </x:c>
      <x:c r="D93" s="22" t="str">
        <x:v>Круг</x:v>
      </x:c>
      <x:c r="E93" s="22" t="n">
        <x:v>100</x:v>
      </x:c>
      <x:c r="F93" s="22" t="n">
        <x:v>100</x:v>
      </x:c>
      <x:c r="G93" s="49" t="n">
        <x:v>18.753</x:v>
      </x:c>
      <x:c r="H93" s="49" t="n">
        <x:v>6.3582</x:v>
      </x:c>
      <x:c r="I93" s="22" t="str">
        <x:v>Л.21, PDF22</x:v>
      </x:c>
      <x:c r="J93" s="22" t="str">
        <x:v>Диаметр по подписи плана; центр оцифрован.</x:v>
      </x:c>
    </x:row>
    <x:row r="94" ht="46" customHeight="1">
      <x:c r="A94" s="26" t="str">
        <x:v>F3_MU32_H01</x:v>
      </x:c>
      <x:c r="B94" s="26" t="str">
        <x:v>МУ 32</x:v>
      </x:c>
      <x:c r="C94" s="28" t="n">
        <x:v>7.1</x:v>
      </x:c>
      <x:c r="D94" s="26" t="str">
        <x:v>Прямоугольник</x:v>
      </x:c>
      <x:c r="E94" s="26" t="n">
        <x:v>900</x:v>
      </x:c>
      <x:c r="F94" s="26" t="n">
        <x:v>700</x:v>
      </x:c>
      <x:c r="G94" s="48" t="n">
        <x:v>16.5538</x:v>
      </x:c>
      <x:c r="H94" s="48" t="n">
        <x:v>5.9878</x:v>
      </x:c>
      <x:c r="I94" s="26" t="str">
        <x:v>Л.21, PDF22</x:v>
      </x:c>
      <x:c r="J94" s="26" t="str">
        <x:v>Габарит по размерным подписям и векторной графике; привязка P2. Не ведомость всех отверстий этажа.</x:v>
      </x:c>
    </x:row>
    <x:row r="95" ht="46" customHeight="1">
      <x:c r="A95" s="22" t="str">
        <x:v>F3_MU32_H02</x:v>
      </x:c>
      <x:c r="B95" s="22" t="str">
        <x:v>МУ 32</x:v>
      </x:c>
      <x:c r="C95" s="29" t="n">
        <x:v>7.1</x:v>
      </x:c>
      <x:c r="D95" s="22" t="str">
        <x:v>Круг</x:v>
      </x:c>
      <x:c r="E95" s="22" t="n">
        <x:v>150</x:v>
      </x:c>
      <x:c r="F95" s="22" t="n">
        <x:v>150</x:v>
      </x:c>
      <x:c r="G95" s="49" t="n">
        <x:v>13.9526</x:v>
      </x:c>
      <x:c r="H95" s="49" t="n">
        <x:v>6.3032</x:v>
      </x:c>
      <x:c r="I95" s="22" t="str">
        <x:v>Л.21, PDF22</x:v>
      </x:c>
      <x:c r="J95" s="22" t="str">
        <x:v>Диаметр по подписи плана; центр оцифрован.</x:v>
      </x:c>
    </x:row>
    <x:row r="96" ht="46" customHeight="1">
      <x:c r="A96" s="26" t="str">
        <x:v>F3_MU32_H03</x:v>
      </x:c>
      <x:c r="B96" s="26" t="str">
        <x:v>МУ 32</x:v>
      </x:c>
      <x:c r="C96" s="28" t="n">
        <x:v>7.1</x:v>
      </x:c>
      <x:c r="D96" s="26" t="str">
        <x:v>Круг</x:v>
      </x:c>
      <x:c r="E96" s="26" t="n">
        <x:v>150</x:v>
      </x:c>
      <x:c r="F96" s="26" t="n">
        <x:v>150</x:v>
      </x:c>
      <x:c r="G96" s="48" t="n">
        <x:v>13.9949</x:v>
      </x:c>
      <x:c r="H96" s="48" t="n">
        <x:v>6.172</x:v>
      </x:c>
      <x:c r="I96" s="26" t="str">
        <x:v>Л.21, PDF22</x:v>
      </x:c>
      <x:c r="J96" s="26" t="str">
        <x:v>Диаметр по подписи плана; центр оцифрован.</x:v>
      </x:c>
    </x:row>
    <x:row r="97" ht="46" customHeight="1">
      <x:c r="A97" s="22" t="str">
        <x:v>F3_MU32_H04</x:v>
      </x:c>
      <x:c r="B97" s="22" t="str">
        <x:v>МУ 32</x:v>
      </x:c>
      <x:c r="C97" s="29" t="n">
        <x:v>7.1</x:v>
      </x:c>
      <x:c r="D97" s="22" t="str">
        <x:v>Круг</x:v>
      </x:c>
      <x:c r="E97" s="22" t="n">
        <x:v>150</x:v>
      </x:c>
      <x:c r="F97" s="22" t="n">
        <x:v>150</x:v>
      </x:c>
      <x:c r="G97" s="49" t="n">
        <x:v>12.8562</x:v>
      </x:c>
      <x:c r="H97" s="49" t="n">
        <x:v>6.3244</x:v>
      </x:c>
      <x:c r="I97" s="22" t="str">
        <x:v>Л.21, PDF22</x:v>
      </x:c>
      <x:c r="J97" s="22" t="str">
        <x:v>Диаметр по подписи плана; центр оцифрован.</x:v>
      </x:c>
    </x:row>
    <x:row r="98" ht="46" customHeight="1">
      <x:c r="A98" s="26" t="str">
        <x:v>F3_MU33_H01</x:v>
      </x:c>
      <x:c r="B98" s="26" t="str">
        <x:v>МУ 33</x:v>
      </x:c>
      <x:c r="C98" s="28" t="n">
        <x:v>7.1</x:v>
      </x:c>
      <x:c r="D98" s="26" t="str">
        <x:v>Круг</x:v>
      </x:c>
      <x:c r="E98" s="26" t="n">
        <x:v>150</x:v>
      </x:c>
      <x:c r="F98" s="26" t="n">
        <x:v>150</x:v>
      </x:c>
      <x:c r="G98" s="48" t="n">
        <x:v>5.7021</x:v>
      </x:c>
      <x:c r="H98" s="48" t="n">
        <x:v>6.3413</x:v>
      </x:c>
      <x:c r="I98" s="26" t="str">
        <x:v>Л.21, PDF22</x:v>
      </x:c>
      <x:c r="J98" s="26" t="str">
        <x:v>Диаметр по подписи плана; центр оцифрован.</x:v>
      </x:c>
    </x:row>
    <x:row r="99" ht="46" customHeight="1">
      <x:c r="A99" s="22" t="str">
        <x:v>F3_MU33_H02</x:v>
      </x:c>
      <x:c r="B99" s="22" t="str">
        <x:v>МУ 33</x:v>
      </x:c>
      <x:c r="C99" s="29" t="n">
        <x:v>7.1</x:v>
      </x:c>
      <x:c r="D99" s="22" t="str">
        <x:v>Прямоугольник</x:v>
      </x:c>
      <x:c r="E99" s="22" t="n">
        <x:v>1310</x:v>
      </x:c>
      <x:c r="F99" s="22" t="n">
        <x:v>460</x:v>
      </x:c>
      <x:c r="G99" s="49" t="n">
        <x:v>4.7052</x:v>
      </x:c>
      <x:c r="H99" s="49" t="n">
        <x:v>6.0238</x:v>
      </x:c>
      <x:c r="I99" s="22" t="str">
        <x:v>Л.21, PDF22</x:v>
      </x:c>
      <x:c r="J99" s="22" t="str">
        <x:v>Габарит по размерным подписям и векторной графике; привязка P2. Не ведомость всех отверстий этажа.</x:v>
      </x:c>
    </x:row>
    <x:row r="100" ht="46" customHeight="1">
      <x:c r="A100" s="26" t="str">
        <x:v>F3_MU34_H01</x:v>
      </x:c>
      <x:c r="B100" s="26" t="str">
        <x:v>МУ 34</x:v>
      </x:c>
      <x:c r="C100" s="28" t="n">
        <x:v>7.1</x:v>
      </x:c>
      <x:c r="D100" s="26" t="str">
        <x:v>Прямоугольник</x:v>
      </x:c>
      <x:c r="E100" s="26" t="n">
        <x:v>2040</x:v>
      </x:c>
      <x:c r="F100" s="26" t="n">
        <x:v>600</x:v>
      </x:c>
      <x:c r="G100" s="48" t="n">
        <x:v>7.3382</x:v>
      </x:c>
      <x:c r="H100" s="48" t="n">
        <x:v>11.4994</x:v>
      </x:c>
      <x:c r="I100" s="26" t="str">
        <x:v>Л.21, PDF22</x:v>
      </x:c>
      <x:c r="J100" s="26" t="str">
        <x:v>Габарит по размерным подписям и векторной графике; привязка P2. Не ведомость всех отверстий этажа.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e7f8edc9257042a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0" hidden="0" customWidth="1"/>
    <x:col min="3" max="3" width="8" hidden="0" customWidth="1"/>
    <x:col min="4" max="4" width="36" hidden="0" customWidth="1"/>
    <x:col min="5" max="5" width="12" hidden="0" customWidth="1"/>
    <x:col min="6" max="6" width="13" hidden="0" customWidth="1"/>
    <x:col min="7" max="7" width="17" hidden="0" customWidth="1"/>
    <x:col min="8" max="8" width="16" hidden="0" customWidth="1"/>
    <x:col min="9" max="9" width="36" hidden="0" customWidth="1"/>
  </x:cols>
  <x:sheetData>
    <x:row r="1" ht="22" customHeight="1">
      <x:c r="A1" s="95" t="str">
        <x:v>Полнота геометрии обрамлений</x:v>
      </x:c>
      <x:c r="B1" s="95"/>
      <x:c r="C1" s="95"/>
      <x:c r="D1" s="95"/>
      <x:c r="E1" s="95"/>
      <x:c r="F1" s="95"/>
      <x:c r="G1" s="95"/>
      <x:c r="H1" s="95"/>
      <x:c r="I1" s="95"/>
      <x:c r="J1" s="96"/>
    </x:row>
    <x:row r="2" ht="22" customHeight="1">
      <x:c r="A2" s="95"/>
      <x:c r="B2" s="95"/>
      <x:c r="C2" s="95"/>
      <x:c r="D2" s="95"/>
      <x:c r="E2" s="95"/>
      <x:c r="F2" s="95"/>
      <x:c r="G2" s="95"/>
      <x:c r="H2" s="95"/>
      <x:c r="I2" s="95"/>
      <x:c r="J2" s="96"/>
    </x:row>
    <x:row r="3" ht="36" customHeight="1">
      <x:c r="A3" s="10" t="str">
        <x:v>В 3D не подставлены универсальные рамки вместо неувязанных деталей. Разница ниже показывает позиции, оставленные только в спецификации.</x:v>
      </x:c>
      <x:c r="B3" s="10"/>
      <x:c r="C3" s="10"/>
      <x:c r="D3" s="10"/>
      <x:c r="E3" s="10"/>
      <x:c r="F3" s="10"/>
      <x:c r="G3" s="10"/>
      <x:c r="H3" s="10"/>
      <x:c r="I3" s="10"/>
    </x:row>
    <x:row r="5" ht="40" customHeight="1">
      <x:c r="A5" s="16" t="str">
        <x:v>ID МУ</x:v>
      </x:c>
      <x:c r="B5" s="16" t="str">
        <x:v>Марка</x:v>
      </x:c>
      <x:c r="C5" s="16" t="str">
        <x:v>Поз.</x:v>
      </x:c>
      <x:c r="D5" s="16" t="str">
        <x:v>Деталь по РД</x:v>
      </x:c>
      <x:c r="E5" s="16" t="str">
        <x:v>РД, шт.</x:v>
      </x:c>
      <x:c r="F5" s="16" t="str">
        <x:v>В 3D, шт.</x:v>
      </x:c>
      <x:c r="G5" s="16" t="str">
        <x:v>Не размещено, шт.</x:v>
      </x:c>
      <x:c r="H5" s="16" t="str">
        <x:v>Источник</x:v>
      </x:c>
      <x:c r="I5" s="16" t="str">
        <x:v>Статус</x:v>
      </x:c>
    </x:row>
    <x:row r="6" ht="46" customHeight="1">
      <x:c r="A6" s="26" t="str">
        <x:v>F2_MU04</x:v>
      </x:c>
      <x:c r="B6" s="26" t="str">
        <x:v>МУ 4</x:v>
      </x:c>
      <x:c r="C6" s="26" t="str">
        <x:v>4</x:v>
      </x:c>
      <x:c r="D6" s="26" t="str">
        <x:v>Уголок 75х5ГОСТ 8509-93 С245 ГОСТ 27772-2015 L= 1000</x:v>
      </x:c>
      <x:c r="E6" s="26" t="n">
        <x:v>2</x:v>
      </x:c>
      <x:c r="F6" s="26" t="n">
        <x:v>2</x:v>
      </x:c>
      <x:c r="G6" s="26" t="n">
        <x:f>E6-F6</x:f>
        <x:v>0</x:v>
      </x:c>
      <x:c r="H6" s="26" t="str">
        <x:v>Л.24</x:v>
      </x:c>
      <x:c r="I6" s="26" t="str">
        <x:v>Длина по РД; размещение P2. Не КМД.</x:v>
      </x:c>
    </x:row>
    <x:row r="7" ht="46" customHeight="1">
      <x:c r="A7" s="22" t="str">
        <x:v>F2_MU04</x:v>
      </x:c>
      <x:c r="B7" s="22" t="str">
        <x:v>МУ 4</x:v>
      </x:c>
      <x:c r="C7" s="22" t="str">
        <x:v>5</x:v>
      </x:c>
      <x:c r="D7" s="22" t="str">
        <x:v>Уголок 75х5ГОСТ 8509-93 С245 ГОСТ 27772-2015 L= 1050</x:v>
      </x:c>
      <x:c r="E7" s="22" t="n">
        <x:v>2</x:v>
      </x:c>
      <x:c r="F7" s="22" t="n">
        <x:v>2</x:v>
      </x:c>
      <x:c r="G7" s="22" t="n">
        <x:f>E7-F7</x:f>
        <x:v>0</x:v>
      </x:c>
      <x:c r="H7" s="22" t="str">
        <x:v>Л.24</x:v>
      </x:c>
      <x:c r="I7" s="22" t="str">
        <x:v>Длина по РД; размещение P2. Не КМД.</x:v>
      </x:c>
    </x:row>
    <x:row r="8" ht="46" customHeight="1">
      <x:c r="A8" s="26" t="str">
        <x:v>F2_MU05</x:v>
      </x:c>
      <x:c r="B8" s="26" t="str">
        <x:v>МУ 5</x:v>
      </x:c>
      <x:c r="C8" s="26" t="str">
        <x:v>6</x:v>
      </x:c>
      <x:c r="D8" s="26" t="str">
        <x:v>Уголок 75х5ГОСТ 8509-93 С245 ГОСТ 27772-2015 L=1750 Обрамление отверстий в МУ 5</x:v>
      </x:c>
      <x:c r="E8" s="26" t="n">
        <x:v>6</x:v>
      </x:c>
      <x:c r="F8" s="26" t="n">
        <x:v>6</x:v>
      </x:c>
      <x:c r="G8" s="26" t="n">
        <x:f>E8-F8</x:f>
        <x:v>0</x:v>
      </x:c>
      <x:c r="H8" s="26" t="str">
        <x:v>Л.24</x:v>
      </x:c>
      <x:c r="I8" s="26" t="str">
        <x:v>Длина по РД; размещение P2. Не КМД.</x:v>
      </x:c>
    </x:row>
    <x:row r="9" ht="46" customHeight="1">
      <x:c r="A9" s="22" t="str">
        <x:v>F2_MU05</x:v>
      </x:c>
      <x:c r="B9" s="22" t="str">
        <x:v>МУ 5</x:v>
      </x:c>
      <x:c r="C9" s="22" t="str">
        <x:v>7</x:v>
      </x:c>
      <x:c r="D9" s="22" t="str">
        <x:v>Уголок 75х5ГОСТ 8509-93 С245 ГОСТ 27772-2015 L=1200</x:v>
      </x:c>
      <x:c r="E9" s="22" t="n">
        <x:v>2</x:v>
      </x:c>
      <x:c r="F9" s="22" t="n">
        <x:v>2</x:v>
      </x:c>
      <x:c r="G9" s="22" t="n">
        <x:f>E9-F9</x:f>
        <x:v>0</x:v>
      </x:c>
      <x:c r="H9" s="22" t="str">
        <x:v>Л.24</x:v>
      </x:c>
      <x:c r="I9" s="22" t="str">
        <x:v>Длина по РД; размещение P2. Не КМД.</x:v>
      </x:c>
    </x:row>
    <x:row r="10" ht="46" customHeight="1">
      <x:c r="A10" s="26" t="str">
        <x:v>F2_MU05</x:v>
      </x:c>
      <x:c r="B10" s="26" t="str">
        <x:v>МУ 5</x:v>
      </x:c>
      <x:c r="C10" s="26" t="str">
        <x:v>8</x:v>
      </x:c>
      <x:c r="D10" s="26" t="str">
        <x:v>Уголок 75х5ГОСТ 8509-93 С245 ГОСТ 27772-2015 L=800</x:v>
      </x:c>
      <x:c r="E10" s="26" t="n">
        <x:v>2</x:v>
      </x:c>
      <x:c r="F10" s="26" t="n">
        <x:v>2</x:v>
      </x:c>
      <x:c r="G10" s="26" t="n">
        <x:f>E10-F10</x:f>
        <x:v>0</x:v>
      </x:c>
      <x:c r="H10" s="26" t="str">
        <x:v>Л.24</x:v>
      </x:c>
      <x:c r="I10" s="26" t="str">
        <x:v>Длина по РД; размещение P2. Не КМД.</x:v>
      </x:c>
    </x:row>
    <x:row r="11" ht="46" customHeight="1">
      <x:c r="A11" s="22" t="str">
        <x:v>F2_MU05</x:v>
      </x:c>
      <x:c r="B11" s="22" t="str">
        <x:v>МУ 5</x:v>
      </x:c>
      <x:c r="C11" s="22" t="str">
        <x:v>9</x:v>
      </x:c>
      <x:c r="D11" s="22" t="str">
        <x:v>Уголок 75х5ГОСТ 8509-93 С245 ГОСТ 27772-2015 L=300</x:v>
      </x:c>
      <x:c r="E11" s="22" t="n">
        <x:v>2</x:v>
      </x:c>
      <x:c r="F11" s="22" t="n">
        <x:v>2</x:v>
      </x:c>
      <x:c r="G11" s="22" t="n">
        <x:f>E11-F11</x:f>
        <x:v>0</x:v>
      </x:c>
      <x:c r="H11" s="22" t="str">
        <x:v>Л.24</x:v>
      </x:c>
      <x:c r="I11" s="22" t="str">
        <x:v>Длина по РД; размещение P2. Не КМД.</x:v>
      </x:c>
    </x:row>
    <x:row r="12" ht="46" customHeight="1">
      <x:c r="A12" s="26" t="str">
        <x:v>F2_MU06</x:v>
      </x:c>
      <x:c r="B12" s="26" t="str">
        <x:v>МУ 6</x:v>
      </x:c>
      <x:c r="C12" s="26" t="str">
        <x:v>1</x:v>
      </x:c>
      <x:c r="D12" s="26" t="str">
        <x:v>Уголок 75х5ГОСТ 8509-93 С245 ГОСТ 27772-2015 L=1750</x:v>
      </x:c>
      <x:c r="E12" s="26" t="n">
        <x:v>2</x:v>
      </x:c>
      <x:c r="F12" s="26" t="n">
        <x:v>2</x:v>
      </x:c>
      <x:c r="G12" s="26" t="n">
        <x:f>E12-F12</x:f>
        <x:v>0</x:v>
      </x:c>
      <x:c r="H12" s="26" t="str">
        <x:v>Л.25</x:v>
      </x:c>
      <x:c r="I12" s="26" t="str">
        <x:v>Длина по РД; размещение P2. Не КМД.</x:v>
      </x:c>
    </x:row>
    <x:row r="13" ht="46" customHeight="1">
      <x:c r="A13" s="22" t="str">
        <x:v>F2_MU06</x:v>
      </x:c>
      <x:c r="B13" s="22" t="str">
        <x:v>МУ 6</x:v>
      </x:c>
      <x:c r="C13" s="22" t="str">
        <x:v>2</x:v>
      </x:c>
      <x:c r="D13" s="22" t="str">
        <x:v>Уголок 75х5ГОСТ 8509-93 С245 ГОСТ 27772-2015 L=1500</x:v>
      </x:c>
      <x:c r="E13" s="22" t="n">
        <x:v>2</x:v>
      </x:c>
      <x:c r="F13" s="22" t="n">
        <x:v>2</x:v>
      </x:c>
      <x:c r="G13" s="22" t="n">
        <x:f>E13-F13</x:f>
        <x:v>0</x:v>
      </x:c>
      <x:c r="H13" s="22" t="str">
        <x:v>Л.25</x:v>
      </x:c>
      <x:c r="I13" s="22" t="str">
        <x:v>Длина по РД; размещение P2. Не КМД.</x:v>
      </x:c>
    </x:row>
    <x:row r="14" ht="46" customHeight="1">
      <x:c r="A14" s="26" t="str">
        <x:v>F2_MU07</x:v>
      </x:c>
      <x:c r="B14" s="26" t="str">
        <x:v>МУ 7</x:v>
      </x:c>
      <x:c r="C14" s="26" t="str">
        <x:v>4</x:v>
      </x:c>
      <x:c r="D14" s="26" t="str">
        <x:v>Уголок 75х5ГОСТ 8509-93 С245 ГОСТ 27772-2015 L=1750</x:v>
      </x:c>
      <x:c r="E14" s="26" t="n">
        <x:v>2</x:v>
      </x:c>
      <x:c r="F14" s="26" t="n">
        <x:v>2</x:v>
      </x:c>
      <x:c r="G14" s="26" t="n">
        <x:f>E14-F14</x:f>
        <x:v>0</x:v>
      </x:c>
      <x:c r="H14" s="26" t="str">
        <x:v>Л.25</x:v>
      </x:c>
      <x:c r="I14" s="26" t="str">
        <x:v>Длина по РД; размещение P2. Не КМД.</x:v>
      </x:c>
    </x:row>
    <x:row r="15" ht="46" customHeight="1">
      <x:c r="A15" s="22" t="str">
        <x:v>F2_MU07</x:v>
      </x:c>
      <x:c r="B15" s="22" t="str">
        <x:v>МУ 7</x:v>
      </x:c>
      <x:c r="C15" s="22" t="str">
        <x:v>5</x:v>
      </x:c>
      <x:c r="D15" s="22" t="str">
        <x:v>Уголок 75х5ГОСТ 8509-93 С245 ГОСТ 27772-2015 L=700</x:v>
      </x:c>
      <x:c r="E15" s="22" t="n">
        <x:v>2</x:v>
      </x:c>
      <x:c r="F15" s="22" t="n">
        <x:v>2</x:v>
      </x:c>
      <x:c r="G15" s="22" t="n">
        <x:f>E15-F15</x:f>
        <x:v>0</x:v>
      </x:c>
      <x:c r="H15" s="22" t="str">
        <x:v>Л.25</x:v>
      </x:c>
      <x:c r="I15" s="22" t="str">
        <x:v>Длина по РД; размещение P2. Не КМД.</x:v>
      </x:c>
    </x:row>
    <x:row r="16" ht="46" customHeight="1">
      <x:c r="A16" s="26" t="str">
        <x:v>F2_MU11</x:v>
      </x:c>
      <x:c r="B16" s="26" t="str">
        <x:v>МУ 11</x:v>
      </x:c>
      <x:c r="C16" s="26" t="str">
        <x:v>1</x:v>
      </x:c>
      <x:c r="D16" s="26" t="str">
        <x:v>Уголок 75х5ГОСТ 8509-93 С245 ГОСТ 27772-2015 L=1100</x:v>
      </x:c>
      <x:c r="E16" s="26" t="n">
        <x:v>3</x:v>
      </x:c>
      <x:c r="F16" s="26" t="n">
        <x:v>2</x:v>
      </x:c>
      <x:c r="G16" s="26" t="n">
        <x:f>E16-F16</x:f>
        <x:v>1</x:v>
      </x:c>
      <x:c r="H16" s="26" t="str">
        <x:v>Л.27</x:v>
      </x:c>
      <x:c r="I16" s="26" t="str">
        <x:v>Длина по РД; размещение P2. Не КМД.</x:v>
      </x:c>
    </x:row>
    <x:row r="17" ht="46" customHeight="1">
      <x:c r="A17" s="22" t="str">
        <x:v>F2_MU11</x:v>
      </x:c>
      <x:c r="B17" s="22" t="str">
        <x:v>МУ 11</x:v>
      </x:c>
      <x:c r="C17" s="22" t="str">
        <x:v>2</x:v>
      </x:c>
      <x:c r="D17" s="22" t="str">
        <x:v>Уголок 75х5ГОСТ 8509-93 С245 ГОСТ 27772-2015 L=800</x:v>
      </x:c>
      <x:c r="E17" s="22" t="n">
        <x:v>1</x:v>
      </x:c>
      <x:c r="F17" s="22" t="n">
        <x:v>0</x:v>
      </x:c>
      <x:c r="G17" s="22" t="n">
        <x:f>E17-F17</x:f>
        <x:v>1</x:v>
      </x:c>
      <x:c r="H17" s="22" t="str">
        <x:v>Л.27</x:v>
      </x:c>
      <x:c r="I17" s="22" t="str">
        <x:v>В спецификации есть; геометрически не размещено.</x:v>
      </x:c>
    </x:row>
    <x:row r="18" ht="46" customHeight="1">
      <x:c r="A18" s="26" t="str">
        <x:v>F2_MU11</x:v>
      </x:c>
      <x:c r="B18" s="26" t="str">
        <x:v>МУ 11</x:v>
      </x:c>
      <x:c r="C18" s="26" t="str">
        <x:v>3</x:v>
      </x:c>
      <x:c r="D18" s="26" t="str">
        <x:v>Уголок 75х5ГОСТ 8509-93 С245 ГОСТ 27772-2015 L=370</x:v>
      </x:c>
      <x:c r="E18" s="26" t="n">
        <x:v>2</x:v>
      </x:c>
      <x:c r="F18" s="26" t="n">
        <x:v>0</x:v>
      </x:c>
      <x:c r="G18" s="26" t="n">
        <x:f>E18-F18</x:f>
        <x:v>2</x:v>
      </x:c>
      <x:c r="H18" s="26" t="str">
        <x:v>Л.27</x:v>
      </x:c>
      <x:c r="I18" s="26" t="str">
        <x:v>В спецификации есть; геометрически не размещено.</x:v>
      </x:c>
    </x:row>
    <x:row r="19" ht="46" customHeight="1">
      <x:c r="A19" s="22" t="str">
        <x:v>F2_MU12</x:v>
      </x:c>
      <x:c r="B19" s="22" t="str">
        <x:v>МУ 12</x:v>
      </x:c>
      <x:c r="C19" s="22" t="str">
        <x:v>5</x:v>
      </x:c>
      <x:c r="D19" s="22" t="str">
        <x:v>Уголок 75х5ГОСТ 8509-93 С245 ГОСТ 27772-2015 L=1750</x:v>
      </x:c>
      <x:c r="E19" s="22" t="n">
        <x:v>4</x:v>
      </x:c>
      <x:c r="F19" s="22" t="n">
        <x:v>4</x:v>
      </x:c>
      <x:c r="G19" s="22" t="n">
        <x:f>E19-F19</x:f>
        <x:v>0</x:v>
      </x:c>
      <x:c r="H19" s="22" t="str">
        <x:v>Л.27</x:v>
      </x:c>
      <x:c r="I19" s="22" t="str">
        <x:v>Длина по РД; размещение P2. Не КМД.</x:v>
      </x:c>
    </x:row>
    <x:row r="20" ht="46" customHeight="1">
      <x:c r="A20" s="26" t="str">
        <x:v>F2_MU12</x:v>
      </x:c>
      <x:c r="B20" s="26" t="str">
        <x:v>МУ 12</x:v>
      </x:c>
      <x:c r="C20" s="26" t="str">
        <x:v>6</x:v>
      </x:c>
      <x:c r="D20" s="26" t="str">
        <x:v>Уголок 75х5ГОСТ 8509-93 С245 ГОСТ 27772-2015 L=400</x:v>
      </x:c>
      <x:c r="E20" s="26" t="n">
        <x:v>2</x:v>
      </x:c>
      <x:c r="F20" s="26" t="n">
        <x:v>2</x:v>
      </x:c>
      <x:c r="G20" s="26" t="n">
        <x:f>E20-F20</x:f>
        <x:v>0</x:v>
      </x:c>
      <x:c r="H20" s="26" t="str">
        <x:v>Л.27</x:v>
      </x:c>
      <x:c r="I20" s="26" t="str">
        <x:v>Длина по РД; размещение P2. Не КМД.</x:v>
      </x:c>
    </x:row>
    <x:row r="21" ht="46" customHeight="1">
      <x:c r="A21" s="22" t="str">
        <x:v>F2_MU12</x:v>
      </x:c>
      <x:c r="B21" s="22" t="str">
        <x:v>МУ 12</x:v>
      </x:c>
      <x:c r="C21" s="22" t="str">
        <x:v>7</x:v>
      </x:c>
      <x:c r="D21" s="22" t="str">
        <x:v>Уголок 75х5ГОСТ 8509-93 С245 ГОСТ 27772-2015 L=345</x:v>
      </x:c>
      <x:c r="E21" s="22" t="n">
        <x:v>2</x:v>
      </x:c>
      <x:c r="F21" s="22" t="n">
        <x:v>0</x:v>
      </x:c>
      <x:c r="G21" s="22" t="n">
        <x:f>E21-F21</x:f>
        <x:v>2</x:v>
      </x:c>
      <x:c r="H21" s="22" t="str">
        <x:v>Л.27</x:v>
      </x:c>
      <x:c r="I21" s="22" t="str">
        <x:v>В спецификации есть; геометрически не размещено.</x:v>
      </x:c>
    </x:row>
    <x:row r="22" ht="46" customHeight="1">
      <x:c r="A22" s="26" t="str">
        <x:v>F2_MU12</x:v>
      </x:c>
      <x:c r="B22" s="26" t="str">
        <x:v>МУ 12</x:v>
      </x:c>
      <x:c r="C22" s="26" t="str">
        <x:v>8</x:v>
      </x:c>
      <x:c r="D22" s="26" t="str">
        <x:v>Уголок 75х5ГОСТ 8509-93 С245 ГОСТ 27772-2015 L=1305</x:v>
      </x:c>
      <x:c r="E22" s="26" t="n">
        <x:v>2</x:v>
      </x:c>
      <x:c r="F22" s="26" t="n">
        <x:v>0</x:v>
      </x:c>
      <x:c r="G22" s="26" t="n">
        <x:f>E22-F22</x:f>
        <x:v>2</x:v>
      </x:c>
      <x:c r="H22" s="26" t="str">
        <x:v>Л.27</x:v>
      </x:c>
      <x:c r="I22" s="26" t="str">
        <x:v>В спецификации есть; геометрически не размещено.</x:v>
      </x:c>
    </x:row>
    <x:row r="23" ht="46" customHeight="1">
      <x:c r="A23" s="22" t="str">
        <x:v>F2_MU16</x:v>
      </x:c>
      <x:c r="B23" s="22" t="str">
        <x:v>МУ 16</x:v>
      </x:c>
      <x:c r="C23" s="22" t="str">
        <x:v>1</x:v>
      </x:c>
      <x:c r="D23" s="22" t="str">
        <x:v>Уголок 75х5ГОСТ 8509-93 С245 ГОСТ 27772-2015 L=1750</x:v>
      </x:c>
      <x:c r="E23" s="22" t="n">
        <x:v>2</x:v>
      </x:c>
      <x:c r="F23" s="22" t="n">
        <x:v>2</x:v>
      </x:c>
      <x:c r="G23" s="22" t="n">
        <x:f>E23-F23</x:f>
        <x:v>0</x:v>
      </x:c>
      <x:c r="H23" s="22" t="str">
        <x:v>Л.29</x:v>
      </x:c>
      <x:c r="I23" s="22" t="str">
        <x:v>Длина по РД; размещение P2. Не КМД.</x:v>
      </x:c>
    </x:row>
    <x:row r="24" ht="46" customHeight="1">
      <x:c r="A24" s="26" t="str">
        <x:v>F2_MU16</x:v>
      </x:c>
      <x:c r="B24" s="26" t="str">
        <x:v>МУ 16</x:v>
      </x:c>
      <x:c r="C24" s="26" t="str">
        <x:v>2</x:v>
      </x:c>
      <x:c r="D24" s="26" t="str">
        <x:v>Уголок 75х5ГОСТ 8509-93 С245 ГОСТ 27772-2015 L= 600</x:v>
      </x:c>
      <x:c r="E24" s="26" t="n">
        <x:v>2</x:v>
      </x:c>
      <x:c r="F24" s="26" t="n">
        <x:v>2</x:v>
      </x:c>
      <x:c r="G24" s="26" t="n">
        <x:f>E24-F24</x:f>
        <x:v>0</x:v>
      </x:c>
      <x:c r="H24" s="26" t="str">
        <x:v>Л.29</x:v>
      </x:c>
      <x:c r="I24" s="26" t="str">
        <x:v>Длина по РД; размещение P2. Не КМД.</x:v>
      </x:c>
    </x:row>
    <x:row r="25" ht="46" customHeight="1">
      <x:c r="A25" s="22" t="str">
        <x:v>F2_MU17</x:v>
      </x:c>
      <x:c r="B25" s="22" t="str">
        <x:v>МУ 17</x:v>
      </x:c>
      <x:c r="C25" s="22" t="str">
        <x:v>4</x:v>
      </x:c>
      <x:c r="D25" s="22" t="str">
        <x:v>Уголок 75х5ГОСТ 8509-93 С245 ГОСТ 27772-2015 L=1750</x:v>
      </x:c>
      <x:c r="E25" s="22" t="n">
        <x:v>3</x:v>
      </x:c>
      <x:c r="F25" s="22" t="n">
        <x:v>2</x:v>
      </x:c>
      <x:c r="G25" s="22" t="n">
        <x:f>E25-F25</x:f>
        <x:v>1</x:v>
      </x:c>
      <x:c r="H25" s="22" t="str">
        <x:v>Л.29</x:v>
      </x:c>
      <x:c r="I25" s="22" t="str">
        <x:v>Длина по РД; размещение P2. Не КМД.</x:v>
      </x:c>
    </x:row>
    <x:row r="26" ht="46" customHeight="1">
      <x:c r="A26" s="26" t="str">
        <x:v>F2_MU17</x:v>
      </x:c>
      <x:c r="B26" s="26" t="str">
        <x:v>МУ 17</x:v>
      </x:c>
      <x:c r="C26" s="26" t="str">
        <x:v>5</x:v>
      </x:c>
      <x:c r="D26" s="26" t="str">
        <x:v>Уголок 75х5ГОСТ 8509-93 С245 ГОСТ 27772-2015 L= 1900</x:v>
      </x:c>
      <x:c r="E26" s="26" t="n">
        <x:v>2</x:v>
      </x:c>
      <x:c r="F26" s="26" t="n">
        <x:v>2</x:v>
      </x:c>
      <x:c r="G26" s="26" t="n">
        <x:f>E26-F26</x:f>
        <x:v>0</x:v>
      </x:c>
      <x:c r="H26" s="26" t="str">
        <x:v>Л.29</x:v>
      </x:c>
      <x:c r="I26" s="26" t="str">
        <x:v>Длина по РД; размещение P2. Не КМД.</x:v>
      </x:c>
    </x:row>
    <x:row r="27" ht="46" customHeight="1">
      <x:c r="A27" s="22" t="str">
        <x:v>F2_MU17</x:v>
      </x:c>
      <x:c r="B27" s="22" t="str">
        <x:v>МУ 17</x:v>
      </x:c>
      <x:c r="C27" s="22" t="str">
        <x:v>6</x:v>
      </x:c>
      <x:c r="D27" s="22" t="str">
        <x:v>Уголок 75х5ГОСТ 8509-93 С245 ГОСТ 27772-2015 L= 825</x:v>
      </x:c>
      <x:c r="E27" s="22" t="n">
        <x:v>2</x:v>
      </x:c>
      <x:c r="F27" s="22" t="n">
        <x:v>0</x:v>
      </x:c>
      <x:c r="G27" s="22" t="n">
        <x:f>E27-F27</x:f>
        <x:v>2</x:v>
      </x:c>
      <x:c r="H27" s="22" t="str">
        <x:v>Л.29</x:v>
      </x:c>
      <x:c r="I27" s="22" t="str">
        <x:v>В спецификации есть; геометрически не размещено.</x:v>
      </x:c>
    </x:row>
    <x:row r="28" ht="46" customHeight="1">
      <x:c r="A28" s="26" t="str">
        <x:v>F2_MU18</x:v>
      </x:c>
      <x:c r="B28" s="26" t="str">
        <x:v>МУ 18</x:v>
      </x:c>
      <x:c r="C28" s="26" t="str">
        <x:v>3</x:v>
      </x:c>
      <x:c r="D28" s="26" t="str">
        <x:v>Уголок 75х5ГОСТ 8509-93 С245 ГОСТ 27772-2015 L=1750</x:v>
      </x:c>
      <x:c r="E28" s="26" t="n">
        <x:v>4</x:v>
      </x:c>
      <x:c r="F28" s="26" t="n">
        <x:v>4</x:v>
      </x:c>
      <x:c r="G28" s="26" t="n">
        <x:f>E28-F28</x:f>
        <x:v>0</x:v>
      </x:c>
      <x:c r="H28" s="26" t="str">
        <x:v>Л.28</x:v>
      </x:c>
      <x:c r="I28" s="26" t="str">
        <x:v>Длина по РД; размещение P2. Не КМД.</x:v>
      </x:c>
    </x:row>
    <x:row r="29" ht="46" customHeight="1">
      <x:c r="A29" s="22" t="str">
        <x:v>F2_MU18</x:v>
      </x:c>
      <x:c r="B29" s="22" t="str">
        <x:v>МУ 18</x:v>
      </x:c>
      <x:c r="C29" s="22" t="str">
        <x:v>4</x:v>
      </x:c>
      <x:c r="D29" s="22" t="str">
        <x:v>Уголок 75х5ГОСТ 8509-93 С245 ГОСТ 27772-2015 L=1100</x:v>
      </x:c>
      <x:c r="E29" s="22" t="n">
        <x:v>2</x:v>
      </x:c>
      <x:c r="F29" s="22" t="n">
        <x:v>2</x:v>
      </x:c>
      <x:c r="G29" s="22" t="n">
        <x:f>E29-F29</x:f>
        <x:v>0</x:v>
      </x:c>
      <x:c r="H29" s="22" t="str">
        <x:v>Л.28</x:v>
      </x:c>
      <x:c r="I29" s="22" t="str">
        <x:v>Длина по РД; размещение P2. Не КМД.</x:v>
      </x:c>
    </x:row>
    <x:row r="30" ht="46" customHeight="1">
      <x:c r="A30" s="26" t="str">
        <x:v>F2_MU18</x:v>
      </x:c>
      <x:c r="B30" s="26" t="str">
        <x:v>МУ 18</x:v>
      </x:c>
      <x:c r="C30" s="26" t="str">
        <x:v>5</x:v>
      </x:c>
      <x:c r="D30" s="26" t="str">
        <x:v>Уголок 75х5ГОСТ 8509-93 С245 ГОСТ 27772-2015 L=1900</x:v>
      </x:c>
      <x:c r="E30" s="26" t="n">
        <x:v>2</x:v>
      </x:c>
      <x:c r="F30" s="26" t="n">
        <x:v>2</x:v>
      </x:c>
      <x:c r="G30" s="26" t="n">
        <x:f>E30-F30</x:f>
        <x:v>0</x:v>
      </x:c>
      <x:c r="H30" s="26" t="str">
        <x:v>Л.28</x:v>
      </x:c>
      <x:c r="I30" s="26" t="str">
        <x:v>Длина по РД; размещение P2. Не КМД.</x:v>
      </x:c>
    </x:row>
    <x:row r="31" ht="46" customHeight="1">
      <x:c r="A31" s="22" t="str">
        <x:v>F2_MU19</x:v>
      </x:c>
      <x:c r="B31" s="22" t="str">
        <x:v>МУ 19</x:v>
      </x:c>
      <x:c r="C31" s="22" t="str">
        <x:v>1</x:v>
      </x:c>
      <x:c r="D31" s="22" t="str">
        <x:v>Уголок 75х5ГОСТ 8509-93 С245 ГОСТ 27772-2015 L=1750</x:v>
      </x:c>
      <x:c r="E31" s="22" t="n">
        <x:v>2</x:v>
      </x:c>
      <x:c r="F31" s="22" t="n">
        <x:v>2</x:v>
      </x:c>
      <x:c r="G31" s="22" t="n">
        <x:f>E31-F31</x:f>
        <x:v>0</x:v>
      </x:c>
      <x:c r="H31" s="22" t="str">
        <x:v>Л.30</x:v>
      </x:c>
      <x:c r="I31" s="22" t="str">
        <x:v>Длина по РД; размещение P2. Не КМД.</x:v>
      </x:c>
    </x:row>
    <x:row r="32" ht="46" customHeight="1">
      <x:c r="A32" s="26" t="str">
        <x:v>F2_MU19</x:v>
      </x:c>
      <x:c r="B32" s="26" t="str">
        <x:v>МУ 19</x:v>
      </x:c>
      <x:c r="C32" s="26" t="str">
        <x:v>2</x:v>
      </x:c>
      <x:c r="D32" s="26" t="str">
        <x:v>Уголок 75х5ГОСТ 8509-93 С245 ГОСТ 27772-2015 L= 1050</x:v>
      </x:c>
      <x:c r="E32" s="26" t="n">
        <x:v>2</x:v>
      </x:c>
      <x:c r="F32" s="26" t="n">
        <x:v>2</x:v>
      </x:c>
      <x:c r="G32" s="26" t="n">
        <x:f>E32-F32</x:f>
        <x:v>0</x:v>
      </x:c>
      <x:c r="H32" s="26" t="str">
        <x:v>Л.30</x:v>
      </x:c>
      <x:c r="I32" s="26" t="str">
        <x:v>Длина по РД; размещение P2. Не КМД.</x:v>
      </x:c>
    </x:row>
    <x:row r="33" ht="46" customHeight="1">
      <x:c r="A33" s="22" t="str">
        <x:v>F2_MU19</x:v>
      </x:c>
      <x:c r="B33" s="22" t="str">
        <x:v>МУ 19</x:v>
      </x:c>
      <x:c r="C33" s="22" t="str">
        <x:v>3</x:v>
      </x:c>
      <x:c r="D33" s="22" t="str">
        <x:v>Уголок 75х5ГОСТ 8509-93 С245 ГОСТ 27772-2015 L= 1525</x:v>
      </x:c>
      <x:c r="E33" s="22" t="n">
        <x:v>2</x:v>
      </x:c>
      <x:c r="F33" s="22" t="n">
        <x:v>0</x:v>
      </x:c>
      <x:c r="G33" s="22" t="n">
        <x:f>E33-F33</x:f>
        <x:v>2</x:v>
      </x:c>
      <x:c r="H33" s="22" t="str">
        <x:v>Л.30</x:v>
      </x:c>
      <x:c r="I33" s="22" t="str">
        <x:v>В спецификации есть; геометрически не размещено.</x:v>
      </x:c>
    </x:row>
    <x:row r="34" ht="46" customHeight="1">
      <x:c r="A34" s="26" t="str">
        <x:v>F2_MU20</x:v>
      </x:c>
      <x:c r="B34" s="26" t="str">
        <x:v>МУ 20</x:v>
      </x:c>
      <x:c r="C34" s="26" t="str">
        <x:v>5</x:v>
      </x:c>
      <x:c r="D34" s="26" t="str">
        <x:v>Уголок 75х5ГОСТ 8509-93 С245 ГОСТ 27772-2015 L=1750</x:v>
      </x:c>
      <x:c r="E34" s="26" t="n">
        <x:v>4</x:v>
      </x:c>
      <x:c r="F34" s="26" t="n">
        <x:v>4</x:v>
      </x:c>
      <x:c r="G34" s="26" t="n">
        <x:f>E34-F34</x:f>
        <x:v>0</x:v>
      </x:c>
      <x:c r="H34" s="26" t="str">
        <x:v>Л.30</x:v>
      </x:c>
      <x:c r="I34" s="26" t="str">
        <x:v>Длина по РД; размещение P2. Не КМД.</x:v>
      </x:c>
    </x:row>
    <x:row r="35" ht="46" customHeight="1">
      <x:c r="A35" s="22" t="str">
        <x:v>F2_MU20</x:v>
      </x:c>
      <x:c r="B35" s="22" t="str">
        <x:v>МУ 20</x:v>
      </x:c>
      <x:c r="C35" s="22" t="str">
        <x:v>6</x:v>
      </x:c>
      <x:c r="D35" s="22" t="str">
        <x:v>Уголок 75х5ГОСТ 8509-93 С245 ГОСТ 27772-2015 L= 400</x:v>
      </x:c>
      <x:c r="E35" s="22" t="n">
        <x:v>2</x:v>
      </x:c>
      <x:c r="F35" s="22" t="n">
        <x:v>2</x:v>
      </x:c>
      <x:c r="G35" s="22" t="n">
        <x:f>E35-F35</x:f>
        <x:v>0</x:v>
      </x:c>
      <x:c r="H35" s="22" t="str">
        <x:v>Л.30</x:v>
      </x:c>
      <x:c r="I35" s="22" t="str">
        <x:v>Длина по РД; размещение P2. Не КМД.</x:v>
      </x:c>
    </x:row>
    <x:row r="36" ht="46" customHeight="1">
      <x:c r="A36" s="26" t="str">
        <x:v>F2_MU20</x:v>
      </x:c>
      <x:c r="B36" s="26" t="str">
        <x:v>МУ 20</x:v>
      </x:c>
      <x:c r="C36" s="26" t="str">
        <x:v>7</x:v>
      </x:c>
      <x:c r="D36" s="26" t="str">
        <x:v>Уголок 75х5ГОСТ 8509-93 С245 ГОСТ 27772-2015 L= 900</x:v>
      </x:c>
      <x:c r="E36" s="26" t="n">
        <x:v>2</x:v>
      </x:c>
      <x:c r="F36" s="26" t="n">
        <x:v>2</x:v>
      </x:c>
      <x:c r="G36" s="26" t="n">
        <x:f>E36-F36</x:f>
        <x:v>0</x:v>
      </x:c>
      <x:c r="H36" s="26" t="str">
        <x:v>Л.30</x:v>
      </x:c>
      <x:c r="I36" s="26" t="str">
        <x:v>Длина по РД; размещение P2. Не КМД.</x:v>
      </x:c>
    </x:row>
    <x:row r="37" ht="46" customHeight="1">
      <x:c r="A37" s="22" t="str">
        <x:v>F2_MU21</x:v>
      </x:c>
      <x:c r="B37" s="22" t="str">
        <x:v>МУ 21</x:v>
      </x:c>
      <x:c r="C37" s="22" t="str">
        <x:v>1</x:v>
      </x:c>
      <x:c r="D37" s="22" t="str">
        <x:v>Уголок 75х5ГОСТ 8509-93 С245 ГОСТ 27772-2015 L=1750</x:v>
      </x:c>
      <x:c r="E37" s="22" t="n">
        <x:v>2</x:v>
      </x:c>
      <x:c r="F37" s="22" t="n">
        <x:v>2</x:v>
      </x:c>
      <x:c r="G37" s="22" t="n">
        <x:f>E37-F37</x:f>
        <x:v>0</x:v>
      </x:c>
      <x:c r="H37" s="22" t="str">
        <x:v>Л.31</x:v>
      </x:c>
      <x:c r="I37" s="22" t="str">
        <x:v>Длина по РД; размещение P2. Не КМД.</x:v>
      </x:c>
    </x:row>
    <x:row r="38" ht="46" customHeight="1">
      <x:c r="A38" s="26" t="str">
        <x:v>F2_MU21</x:v>
      </x:c>
      <x:c r="B38" s="26" t="str">
        <x:v>МУ 21</x:v>
      </x:c>
      <x:c r="C38" s="26" t="str">
        <x:v>2</x:v>
      </x:c>
      <x:c r="D38" s="26" t="str">
        <x:v>Уголок 75х5ГОСТ 8509-93 С245 ГОСТ 27772-2015 L= 300</x:v>
      </x:c>
      <x:c r="E38" s="26" t="n">
        <x:v>2</x:v>
      </x:c>
      <x:c r="F38" s="26" t="n">
        <x:v>2</x:v>
      </x:c>
      <x:c r="G38" s="26" t="n">
        <x:f>E38-F38</x:f>
        <x:v>0</x:v>
      </x:c>
      <x:c r="H38" s="26" t="str">
        <x:v>Л.31</x:v>
      </x:c>
      <x:c r="I38" s="26" t="str">
        <x:v>Длина по РД; размещение P2. Не КМД.</x:v>
      </x:c>
    </x:row>
    <x:row r="39" ht="46" customHeight="1">
      <x:c r="A39" s="22" t="str">
        <x:v>F2_MU23</x:v>
      </x:c>
      <x:c r="B39" s="22" t="str">
        <x:v>МУ 23</x:v>
      </x:c>
      <x:c r="C39" s="22" t="str">
        <x:v>1</x:v>
      </x:c>
      <x:c r="D39" s="22" t="str">
        <x:v>Уголок 75х5ГОСТ 8509-93 С245 ГОСТ 27772-2015 L=1750</x:v>
      </x:c>
      <x:c r="E39" s="22" t="n">
        <x:v>2</x:v>
      </x:c>
      <x:c r="F39" s="22" t="n">
        <x:v>2</x:v>
      </x:c>
      <x:c r="G39" s="22" t="n">
        <x:f>E39-F39</x:f>
        <x:v>0</x:v>
      </x:c>
      <x:c r="H39" s="22" t="str">
        <x:v>Л.32</x:v>
      </x:c>
      <x:c r="I39" s="22" t="str">
        <x:v>Длина по РД; размещение P2. Не КМД.</x:v>
      </x:c>
    </x:row>
    <x:row r="40" ht="46" customHeight="1">
      <x:c r="A40" s="26" t="str">
        <x:v>F2_MU23</x:v>
      </x:c>
      <x:c r="B40" s="26" t="str">
        <x:v>МУ 23</x:v>
      </x:c>
      <x:c r="C40" s="26" t="str">
        <x:v>2</x:v>
      </x:c>
      <x:c r="D40" s="26" t="str">
        <x:v>Уголок 75х5ГОСТ 8509-93 С245 ГОСТ 27772-2015 L=550</x:v>
      </x:c>
      <x:c r="E40" s="26" t="n">
        <x:v>1</x:v>
      </x:c>
      <x:c r="F40" s="26" t="n">
        <x:v>0</x:v>
      </x:c>
      <x:c r="G40" s="26" t="n">
        <x:f>E40-F40</x:f>
        <x:v>1</x:v>
      </x:c>
      <x:c r="H40" s="26" t="str">
        <x:v>Л.32</x:v>
      </x:c>
      <x:c r="I40" s="26" t="str">
        <x:v>В спецификации есть; геометрически не размещено.</x:v>
      </x:c>
    </x:row>
    <x:row r="41" ht="46" customHeight="1">
      <x:c r="A41" s="22" t="str">
        <x:v>F3_MU04</x:v>
      </x:c>
      <x:c r="B41" s="22" t="str">
        <x:v>МУ 4</x:v>
      </x:c>
      <x:c r="C41" s="22" t="str">
        <x:v>4</x:v>
      </x:c>
      <x:c r="D41" s="22" t="str">
        <x:v>Уголок 75х5ГОСТ 8509-93 С245 ГОСТ 27772-2015 L= 1000</x:v>
      </x:c>
      <x:c r="E41" s="22" t="n">
        <x:v>2</x:v>
      </x:c>
      <x:c r="F41" s="22" t="n">
        <x:v>2</x:v>
      </x:c>
      <x:c r="G41" s="22" t="n">
        <x:f>E41-F41</x:f>
        <x:v>0</x:v>
      </x:c>
      <x:c r="H41" s="22" t="str">
        <x:v>Л.24</x:v>
      </x:c>
      <x:c r="I41" s="22" t="str">
        <x:v>Длина по РД; размещение P2. Не КМД.</x:v>
      </x:c>
    </x:row>
    <x:row r="42" ht="46" customHeight="1">
      <x:c r="A42" s="26" t="str">
        <x:v>F3_MU04</x:v>
      </x:c>
      <x:c r="B42" s="26" t="str">
        <x:v>МУ 4</x:v>
      </x:c>
      <x:c r="C42" s="26" t="str">
        <x:v>5</x:v>
      </x:c>
      <x:c r="D42" s="26" t="str">
        <x:v>Уголок 75х5ГОСТ 8509-93 С245 ГОСТ 27772-2015 L= 1050</x:v>
      </x:c>
      <x:c r="E42" s="26" t="n">
        <x:v>2</x:v>
      </x:c>
      <x:c r="F42" s="26" t="n">
        <x:v>2</x:v>
      </x:c>
      <x:c r="G42" s="26" t="n">
        <x:f>E42-F42</x:f>
        <x:v>0</x:v>
      </x:c>
      <x:c r="H42" s="26" t="str">
        <x:v>Л.24</x:v>
      </x:c>
      <x:c r="I42" s="26" t="str">
        <x:v>Длина по РД; размещение P2. Не КМД.</x:v>
      </x:c>
    </x:row>
    <x:row r="43" ht="46" customHeight="1">
      <x:c r="A43" s="22" t="str">
        <x:v>F3_MU24</x:v>
      </x:c>
      <x:c r="B43" s="22" t="str">
        <x:v>МУ 24</x:v>
      </x:c>
      <x:c r="C43" s="22" t="str">
        <x:v>4</x:v>
      </x:c>
      <x:c r="D43" s="22" t="str">
        <x:v>Уголок 75х5ГОСТ 8509-93 С245 ГОСТ 27772-2015 L=1750</x:v>
      </x:c>
      <x:c r="E43" s="22" t="n">
        <x:v>1</x:v>
      </x:c>
      <x:c r="F43" s="22" t="n">
        <x:v>0</x:v>
      </x:c>
      <x:c r="G43" s="22" t="n">
        <x:f>E43-F43</x:f>
        <x:v>1</x:v>
      </x:c>
      <x:c r="H43" s="22" t="str">
        <x:v>Л.32</x:v>
      </x:c>
      <x:c r="I43" s="22" t="str">
        <x:v>В спецификации есть; геометрически не размещено.</x:v>
      </x:c>
    </x:row>
    <x:row r="44" ht="46" customHeight="1">
      <x:c r="A44" s="26" t="str">
        <x:v>F3_MU24</x:v>
      </x:c>
      <x:c r="B44" s="26" t="str">
        <x:v>МУ 24</x:v>
      </x:c>
      <x:c r="C44" s="26" t="str">
        <x:v>5</x:v>
      </x:c>
      <x:c r="D44" s="26" t="str">
        <x:v>Уголок 75х5ГОСТ 8509-93 С245 ГОСТ 27772-2015 L= 1950</x:v>
      </x:c>
      <x:c r="E44" s="26" t="n">
        <x:v>2</x:v>
      </x:c>
      <x:c r="F44" s="26" t="n">
        <x:v>0</x:v>
      </x:c>
      <x:c r="G44" s="26" t="n">
        <x:f>E44-F44</x:f>
        <x:v>2</x:v>
      </x:c>
      <x:c r="H44" s="26" t="str">
        <x:v>Л.32</x:v>
      </x:c>
      <x:c r="I44" s="26" t="str">
        <x:v>В спецификации есть; геометрически не размещено.</x:v>
      </x:c>
    </x:row>
    <x:row r="45" ht="46" customHeight="1">
      <x:c r="A45" s="22" t="str">
        <x:v>F3_MU25</x:v>
      </x:c>
      <x:c r="B45" s="22" t="str">
        <x:v>МУ 25</x:v>
      </x:c>
      <x:c r="C45" s="22" t="str">
        <x:v>2</x:v>
      </x:c>
      <x:c r="D45" s="22" t="str">
        <x:v>Уголок 75х5ГОСТ 8509-93 С245 ГОСТ 27772-2015 L=1750</x:v>
      </x:c>
      <x:c r="E45" s="22" t="n">
        <x:v>5</x:v>
      </x:c>
      <x:c r="F45" s="22" t="n">
        <x:v>4</x:v>
      </x:c>
      <x:c r="G45" s="22" t="n">
        <x:f>E45-F45</x:f>
        <x:v>1</x:v>
      </x:c>
      <x:c r="H45" s="22" t="str">
        <x:v>Л.33</x:v>
      </x:c>
      <x:c r="I45" s="22" t="str">
        <x:v>Длина по РД; размещение P2. Не КМД.</x:v>
      </x:c>
    </x:row>
    <x:row r="46" ht="46" customHeight="1">
      <x:c r="A46" s="26" t="str">
        <x:v>F3_MU25</x:v>
      </x:c>
      <x:c r="B46" s="26" t="str">
        <x:v>МУ 25</x:v>
      </x:c>
      <x:c r="C46" s="26" t="str">
        <x:v>3</x:v>
      </x:c>
      <x:c r="D46" s="26" t="str">
        <x:v>Уголок 75х5ГОСТ 8509-93 С245 ГОСТ 27772-2015 L=1200</x:v>
      </x:c>
      <x:c r="E46" s="26" t="n">
        <x:v>2</x:v>
      </x:c>
      <x:c r="F46" s="26" t="n">
        <x:v>2</x:v>
      </x:c>
      <x:c r="G46" s="26" t="n">
        <x:f>E46-F46</x:f>
        <x:v>0</x:v>
      </x:c>
      <x:c r="H46" s="26" t="str">
        <x:v>Л.33</x:v>
      </x:c>
      <x:c r="I46" s="26" t="str">
        <x:v>Длина по РД; размещение P2. Не КМД.</x:v>
      </x:c>
    </x:row>
    <x:row r="47" ht="46" customHeight="1">
      <x:c r="A47" s="22" t="str">
        <x:v>F3_MU25</x:v>
      </x:c>
      <x:c r="B47" s="22" t="str">
        <x:v>МУ 25</x:v>
      </x:c>
      <x:c r="C47" s="22" t="str">
        <x:v>4</x:v>
      </x:c>
      <x:c r="D47" s="22" t="str">
        <x:v>Уголок 75х5ГОСТ 8509-93 С245 ГОСТ 27772-2015 L= 500</x:v>
      </x:c>
      <x:c r="E47" s="22" t="n">
        <x:v>2</x:v>
      </x:c>
      <x:c r="F47" s="22" t="n">
        <x:v>0</x:v>
      </x:c>
      <x:c r="G47" s="22" t="n">
        <x:f>E47-F47</x:f>
        <x:v>2</x:v>
      </x:c>
      <x:c r="H47" s="22" t="str">
        <x:v>Л.33</x:v>
      </x:c>
      <x:c r="I47" s="22" t="str">
        <x:v>В спецификации есть; геометрически не размещено.</x:v>
      </x:c>
    </x:row>
    <x:row r="48" ht="46" customHeight="1">
      <x:c r="A48" s="26" t="str">
        <x:v>F3_MU25</x:v>
      </x:c>
      <x:c r="B48" s="26" t="str">
        <x:v>МУ 25</x:v>
      </x:c>
      <x:c r="C48" s="26" t="str">
        <x:v>5</x:v>
      </x:c>
      <x:c r="D48" s="26" t="str">
        <x:v>Уголок 75х5ГОСТ 8509-93 С245 ГОСТ 27772-2015 L=300</x:v>
      </x:c>
      <x:c r="E48" s="26" t="n">
        <x:v>2</x:v>
      </x:c>
      <x:c r="F48" s="26" t="n">
        <x:v>0</x:v>
      </x:c>
      <x:c r="G48" s="26" t="n">
        <x:f>E48-F48</x:f>
        <x:v>2</x:v>
      </x:c>
      <x:c r="H48" s="26" t="str">
        <x:v>Л.33</x:v>
      </x:c>
      <x:c r="I48" s="26" t="str">
        <x:v>В спецификации есть; геометрически не размещено.</x:v>
      </x:c>
    </x:row>
    <x:row r="49" ht="46" customHeight="1">
      <x:c r="A49" s="22" t="str">
        <x:v>F3_MU06</x:v>
      </x:c>
      <x:c r="B49" s="22" t="str">
        <x:v>МУ 6</x:v>
      </x:c>
      <x:c r="C49" s="22" t="str">
        <x:v>1</x:v>
      </x:c>
      <x:c r="D49" s="22" t="str">
        <x:v>Уголок 75х5ГОСТ 8509-93 С245 ГОСТ 27772-2015 L=1750</x:v>
      </x:c>
      <x:c r="E49" s="22" t="n">
        <x:v>2</x:v>
      </x:c>
      <x:c r="F49" s="22" t="n">
        <x:v>2</x:v>
      </x:c>
      <x:c r="G49" s="22" t="n">
        <x:f>E49-F49</x:f>
        <x:v>0</x:v>
      </x:c>
      <x:c r="H49" s="22" t="str">
        <x:v>Л.25</x:v>
      </x:c>
      <x:c r="I49" s="22" t="str">
        <x:v>Длина по РД; размещение P2. Не КМД.</x:v>
      </x:c>
    </x:row>
    <x:row r="50" ht="46" customHeight="1">
      <x:c r="A50" s="26" t="str">
        <x:v>F3_MU06</x:v>
      </x:c>
      <x:c r="B50" s="26" t="str">
        <x:v>МУ 6</x:v>
      </x:c>
      <x:c r="C50" s="26" t="str">
        <x:v>2</x:v>
      </x:c>
      <x:c r="D50" s="26" t="str">
        <x:v>Уголок 75х5ГОСТ 8509-93 С245 ГОСТ 27772-2015 L=1500</x:v>
      </x:c>
      <x:c r="E50" s="26" t="n">
        <x:v>2</x:v>
      </x:c>
      <x:c r="F50" s="26" t="n">
        <x:v>2</x:v>
      </x:c>
      <x:c r="G50" s="26" t="n">
        <x:f>E50-F50</x:f>
        <x:v>0</x:v>
      </x:c>
      <x:c r="H50" s="26" t="str">
        <x:v>Л.25</x:v>
      </x:c>
      <x:c r="I50" s="26" t="str">
        <x:v>Длина по РД; размещение P2. Не КМД.</x:v>
      </x:c>
    </x:row>
    <x:row r="51" ht="46" customHeight="1">
      <x:c r="A51" s="22" t="str">
        <x:v>F3_MU07</x:v>
      </x:c>
      <x:c r="B51" s="22" t="str">
        <x:v>МУ 7</x:v>
      </x:c>
      <x:c r="C51" s="22" t="str">
        <x:v>4</x:v>
      </x:c>
      <x:c r="D51" s="22" t="str">
        <x:v>Уголок 75х5ГОСТ 8509-93 С245 ГОСТ 27772-2015 L=1750</x:v>
      </x:c>
      <x:c r="E51" s="22" t="n">
        <x:v>2</x:v>
      </x:c>
      <x:c r="F51" s="22" t="n">
        <x:v>2</x:v>
      </x:c>
      <x:c r="G51" s="22" t="n">
        <x:f>E51-F51</x:f>
        <x:v>0</x:v>
      </x:c>
      <x:c r="H51" s="22" t="str">
        <x:v>Л.25</x:v>
      </x:c>
      <x:c r="I51" s="22" t="str">
        <x:v>Длина по РД; размещение P2. Не КМД.</x:v>
      </x:c>
    </x:row>
    <x:row r="52" ht="46" customHeight="1">
      <x:c r="A52" s="26" t="str">
        <x:v>F3_MU07</x:v>
      </x:c>
      <x:c r="B52" s="26" t="str">
        <x:v>МУ 7</x:v>
      </x:c>
      <x:c r="C52" s="26" t="str">
        <x:v>5</x:v>
      </x:c>
      <x:c r="D52" s="26" t="str">
        <x:v>Уголок 75х5ГОСТ 8509-93 С245 ГОСТ 27772-2015 L=700</x:v>
      </x:c>
      <x:c r="E52" s="26" t="n">
        <x:v>2</x:v>
      </x:c>
      <x:c r="F52" s="26" t="n">
        <x:v>2</x:v>
      </x:c>
      <x:c r="G52" s="26" t="n">
        <x:f>E52-F52</x:f>
        <x:v>0</x:v>
      </x:c>
      <x:c r="H52" s="26" t="str">
        <x:v>Л.25</x:v>
      </x:c>
      <x:c r="I52" s="26" t="str">
        <x:v>Длина по РД; размещение P2. Не КМД.</x:v>
      </x:c>
    </x:row>
    <x:row r="53" ht="46" customHeight="1">
      <x:c r="A53" s="22" t="str">
        <x:v>F3_MU28</x:v>
      </x:c>
      <x:c r="B53" s="22" t="str">
        <x:v>МУ 28</x:v>
      </x:c>
      <x:c r="C53" s="22" t="str">
        <x:v>2</x:v>
      </x:c>
      <x:c r="D53" s="22" t="str">
        <x:v>Уголок 75х5ГОСТ 8509-93 С245 ГОСТ 27772-2015 L=1750</x:v>
      </x:c>
      <x:c r="E53" s="22" t="n">
        <x:v>4</x:v>
      </x:c>
      <x:c r="F53" s="22" t="n">
        <x:v>4</x:v>
      </x:c>
      <x:c r="G53" s="22" t="n">
        <x:f>E53-F53</x:f>
        <x:v>0</x:v>
      </x:c>
      <x:c r="H53" s="22" t="str">
        <x:v>Л.34</x:v>
      </x:c>
      <x:c r="I53" s="22" t="str">
        <x:v>Длина по РД; размещение P2. Не КМД.</x:v>
      </x:c>
    </x:row>
    <x:row r="54" ht="46" customHeight="1">
      <x:c r="A54" s="26" t="str">
        <x:v>F3_MU28</x:v>
      </x:c>
      <x:c r="B54" s="26" t="str">
        <x:v>МУ 28</x:v>
      </x:c>
      <x:c r="C54" s="26" t="str">
        <x:v>3</x:v>
      </x:c>
      <x:c r="D54" s="26" t="str">
        <x:v>Уголок 75х5ГОСТ 8509-93 С245 ГОСТ 27772-2015 L= 300</x:v>
      </x:c>
      <x:c r="E54" s="26" t="n">
        <x:v>2</x:v>
      </x:c>
      <x:c r="F54" s="26" t="n">
        <x:v>2</x:v>
      </x:c>
      <x:c r="G54" s="26" t="n">
        <x:f>E54-F54</x:f>
        <x:v>0</x:v>
      </x:c>
      <x:c r="H54" s="26" t="str">
        <x:v>Л.34</x:v>
      </x:c>
      <x:c r="I54" s="26" t="str">
        <x:v>Длина по РД; размещение P2. Не КМД.</x:v>
      </x:c>
    </x:row>
    <x:row r="55" ht="46" customHeight="1">
      <x:c r="A55" s="22" t="str">
        <x:v>F3_MU28</x:v>
      </x:c>
      <x:c r="B55" s="22" t="str">
        <x:v>МУ 28</x:v>
      </x:c>
      <x:c r="C55" s="22" t="str">
        <x:v>4</x:v>
      </x:c>
      <x:c r="D55" s="22" t="str">
        <x:v>Уголок 75х5ГОСТ 8509-93 С245 ГОСТ 27772-2015 L= 800</x:v>
      </x:c>
      <x:c r="E55" s="22" t="n">
        <x:v>2</x:v>
      </x:c>
      <x:c r="F55" s="22" t="n">
        <x:v>2</x:v>
      </x:c>
      <x:c r="G55" s="22" t="n">
        <x:f>E55-F55</x:f>
        <x:v>0</x:v>
      </x:c>
      <x:c r="H55" s="22" t="str">
        <x:v>Л.34</x:v>
      </x:c>
      <x:c r="I55" s="22" t="str">
        <x:v>Длина по РД; размещение P2. Не КМД.</x:v>
      </x:c>
    </x:row>
    <x:row r="56" ht="46" customHeight="1">
      <x:c r="A56" s="26" t="str">
        <x:v>F3_MU28</x:v>
      </x:c>
      <x:c r="B56" s="26" t="str">
        <x:v>МУ 28</x:v>
      </x:c>
      <x:c r="C56" s="26" t="str">
        <x:v>5</x:v>
      </x:c>
      <x:c r="D56" s="26" t="str">
        <x:v>Уголок 75х5ГОСТ 8509-93 С245 ГОСТ 27772-2015 L= 780</x:v>
      </x:c>
      <x:c r="E56" s="26" t="n">
        <x:v>2</x:v>
      </x:c>
      <x:c r="F56" s="26" t="n">
        <x:v>0</x:v>
      </x:c>
      <x:c r="G56" s="26" t="n">
        <x:f>E56-F56</x:f>
        <x:v>2</x:v>
      </x:c>
      <x:c r="H56" s="26" t="str">
        <x:v>Л.34</x:v>
      </x:c>
      <x:c r="I56" s="26" t="str">
        <x:v>В спецификации есть; геометрически не размещено.</x:v>
      </x:c>
    </x:row>
    <x:row r="57" ht="46" customHeight="1">
      <x:c r="A57" s="22" t="str">
        <x:v>F3_MU29</x:v>
      </x:c>
      <x:c r="B57" s="22" t="str">
        <x:v>МУ 29</x:v>
      </x:c>
      <x:c r="C57" s="22" t="str">
        <x:v>7</x:v>
      </x:c>
      <x:c r="D57" s="22" t="str">
        <x:v>Уголок 75х5ГОСТ 8509-93 С245 ГОСТ 27772-2015 L=1750</x:v>
      </x:c>
      <x:c r="E57" s="22" t="n">
        <x:v>2</x:v>
      </x:c>
      <x:c r="F57" s="22" t="n">
        <x:v>2</x:v>
      </x:c>
      <x:c r="G57" s="22" t="n">
        <x:f>E57-F57</x:f>
        <x:v>0</x:v>
      </x:c>
      <x:c r="H57" s="22" t="str">
        <x:v>Л.34</x:v>
      </x:c>
      <x:c r="I57" s="22" t="str">
        <x:v>Длина по РД; размещение P2. Не КМД.</x:v>
      </x:c>
    </x:row>
    <x:row r="58" ht="46" customHeight="1">
      <x:c r="A58" s="26" t="str">
        <x:v>F3_MU29</x:v>
      </x:c>
      <x:c r="B58" s="26" t="str">
        <x:v>МУ 29</x:v>
      </x:c>
      <x:c r="C58" s="26" t="str">
        <x:v>8</x:v>
      </x:c>
      <x:c r="D58" s="26" t="str">
        <x:v>Уголок 75х5ГОСТ 8509-93 С245 ГОСТ 27772-2015 L= 415</x:v>
      </x:c>
      <x:c r="E58" s="26" t="n">
        <x:v>2</x:v>
      </x:c>
      <x:c r="F58" s="26" t="n">
        <x:v>0</x:v>
      </x:c>
      <x:c r="G58" s="26" t="n">
        <x:f>E58-F58</x:f>
        <x:v>2</x:v>
      </x:c>
      <x:c r="H58" s="26" t="str">
        <x:v>Л.34</x:v>
      </x:c>
      <x:c r="I58" s="26" t="str">
        <x:v>В спецификации есть; геометрически не размещено.</x:v>
      </x:c>
    </x:row>
    <x:row r="59" ht="46" customHeight="1">
      <x:c r="A59" s="22" t="str">
        <x:v>F3_MU29</x:v>
      </x:c>
      <x:c r="B59" s="22" t="str">
        <x:v>МУ 29</x:v>
      </x:c>
      <x:c r="C59" s="22" t="str">
        <x:v>9</x:v>
      </x:c>
      <x:c r="D59" s="22" t="str">
        <x:v>Уголок 75х5ГОСТ 8509-93 С245 ГОСТ 27772-2015 L= 1305</x:v>
      </x:c>
      <x:c r="E59" s="22" t="n">
        <x:v>2</x:v>
      </x:c>
      <x:c r="F59" s="22" t="n">
        <x:v>0</x:v>
      </x:c>
      <x:c r="G59" s="22" t="n">
        <x:f>E59-F59</x:f>
        <x:v>2</x:v>
      </x:c>
      <x:c r="H59" s="22" t="str">
        <x:v>Л.34</x:v>
      </x:c>
      <x:c r="I59" s="22" t="str">
        <x:v>В спецификации есть; геометрически не размещено.</x:v>
      </x:c>
    </x:row>
    <x:row r="60" ht="46" customHeight="1">
      <x:c r="A60" s="26" t="str">
        <x:v>F3_MU30</x:v>
      </x:c>
      <x:c r="B60" s="26" t="str">
        <x:v>МУ 30</x:v>
      </x:c>
      <x:c r="C60" s="26" t="str">
        <x:v>2</x:v>
      </x:c>
      <x:c r="D60" s="26" t="str">
        <x:v>Уголок 75х5ГОСТ 8509-93 С245 ГОСТ 27772-2015 L=1750</x:v>
      </x:c>
      <x:c r="E60" s="26" t="n">
        <x:v>2</x:v>
      </x:c>
      <x:c r="F60" s="26" t="n">
        <x:v>2</x:v>
      </x:c>
      <x:c r="G60" s="26" t="n">
        <x:f>E60-F60</x:f>
        <x:v>0</x:v>
      </x:c>
      <x:c r="H60" s="26" t="str">
        <x:v>Л.35</x:v>
      </x:c>
      <x:c r="I60" s="26" t="str">
        <x:v>Длина по РД; размещение P2. Не КМД.</x:v>
      </x:c>
    </x:row>
    <x:row r="61" ht="46" customHeight="1">
      <x:c r="A61" s="22" t="str">
        <x:v>F3_MU30</x:v>
      </x:c>
      <x:c r="B61" s="22" t="str">
        <x:v>МУ 30</x:v>
      </x:c>
      <x:c r="C61" s="22" t="str">
        <x:v>3</x:v>
      </x:c>
      <x:c r="D61" s="22" t="str">
        <x:v>Уголок 75х5ГОСТ 8509-93 С245 ГОСТ 27772-2015 L= 950</x:v>
      </x:c>
      <x:c r="E61" s="22" t="n">
        <x:v>2</x:v>
      </x:c>
      <x:c r="F61" s="22" t="n">
        <x:v>2</x:v>
      </x:c>
      <x:c r="G61" s="22" t="n">
        <x:f>E61-F61</x:f>
        <x:v>0</x:v>
      </x:c>
      <x:c r="H61" s="22" t="str">
        <x:v>Л.35</x:v>
      </x:c>
      <x:c r="I61" s="22" t="str">
        <x:v>Длина по РД; размещение P2. Не КМД.</x:v>
      </x:c>
    </x:row>
    <x:row r="62" ht="46" customHeight="1">
      <x:c r="A62" s="26" t="str">
        <x:v>F3_MU16</x:v>
      </x:c>
      <x:c r="B62" s="26" t="str">
        <x:v>МУ 16</x:v>
      </x:c>
      <x:c r="C62" s="26" t="str">
        <x:v>1</x:v>
      </x:c>
      <x:c r="D62" s="26" t="str">
        <x:v>Уголок 75х5ГОСТ 8509-93 С245 ГОСТ 27772-2015 L=1750</x:v>
      </x:c>
      <x:c r="E62" s="26" t="n">
        <x:v>2</x:v>
      </x:c>
      <x:c r="F62" s="26" t="n">
        <x:v>2</x:v>
      </x:c>
      <x:c r="G62" s="26" t="n">
        <x:f>E62-F62</x:f>
        <x:v>0</x:v>
      </x:c>
      <x:c r="H62" s="26" t="str">
        <x:v>Л.29</x:v>
      </x:c>
      <x:c r="I62" s="26" t="str">
        <x:v>Длина по РД; размещение P2. Не КМД.</x:v>
      </x:c>
    </x:row>
    <x:row r="63" ht="46" customHeight="1">
      <x:c r="A63" s="22" t="str">
        <x:v>F3_MU16</x:v>
      </x:c>
      <x:c r="B63" s="22" t="str">
        <x:v>МУ 16</x:v>
      </x:c>
      <x:c r="C63" s="22" t="str">
        <x:v>2</x:v>
      </x:c>
      <x:c r="D63" s="22" t="str">
        <x:v>Уголок 75х5ГОСТ 8509-93 С245 ГОСТ 27772-2015 L= 600</x:v>
      </x:c>
      <x:c r="E63" s="22" t="n">
        <x:v>2</x:v>
      </x:c>
      <x:c r="F63" s="22" t="n">
        <x:v>2</x:v>
      </x:c>
      <x:c r="G63" s="22" t="n">
        <x:f>E63-F63</x:f>
        <x:v>0</x:v>
      </x:c>
      <x:c r="H63" s="22" t="str">
        <x:v>Л.29</x:v>
      </x:c>
      <x:c r="I63" s="22" t="str">
        <x:v>Длина по РД; размещение P2. Не КМД.</x:v>
      </x:c>
    </x:row>
    <x:row r="64" ht="46" customHeight="1">
      <x:c r="A64" s="26" t="str">
        <x:v>F3_MU17</x:v>
      </x:c>
      <x:c r="B64" s="26" t="str">
        <x:v>МУ 17</x:v>
      </x:c>
      <x:c r="C64" s="26" t="str">
        <x:v>4</x:v>
      </x:c>
      <x:c r="D64" s="26" t="str">
        <x:v>Уголок 75х5ГОСТ 8509-93 С245 ГОСТ 27772-2015 L=1750</x:v>
      </x:c>
      <x:c r="E64" s="26" t="n">
        <x:v>3</x:v>
      </x:c>
      <x:c r="F64" s="26" t="n">
        <x:v>2</x:v>
      </x:c>
      <x:c r="G64" s="26" t="n">
        <x:f>E64-F64</x:f>
        <x:v>1</x:v>
      </x:c>
      <x:c r="H64" s="26" t="str">
        <x:v>Л.29</x:v>
      </x:c>
      <x:c r="I64" s="26" t="str">
        <x:v>Длина по РД; размещение P2. Не КМД.</x:v>
      </x:c>
    </x:row>
    <x:row r="65" ht="46" customHeight="1">
      <x:c r="A65" s="22" t="str">
        <x:v>F3_MU17</x:v>
      </x:c>
      <x:c r="B65" s="22" t="str">
        <x:v>МУ 17</x:v>
      </x:c>
      <x:c r="C65" s="22" t="str">
        <x:v>5</x:v>
      </x:c>
      <x:c r="D65" s="22" t="str">
        <x:v>Уголок 75х5ГОСТ 8509-93 С245 ГОСТ 27772-2015 L= 1900</x:v>
      </x:c>
      <x:c r="E65" s="22" t="n">
        <x:v>2</x:v>
      </x:c>
      <x:c r="F65" s="22" t="n">
        <x:v>2</x:v>
      </x:c>
      <x:c r="G65" s="22" t="n">
        <x:f>E65-F65</x:f>
        <x:v>0</x:v>
      </x:c>
      <x:c r="H65" s="22" t="str">
        <x:v>Л.29</x:v>
      </x:c>
      <x:c r="I65" s="22" t="str">
        <x:v>Длина по РД; размещение P2. Не КМД.</x:v>
      </x:c>
    </x:row>
    <x:row r="66" ht="46" customHeight="1">
      <x:c r="A66" s="26" t="str">
        <x:v>F3_MU17</x:v>
      </x:c>
      <x:c r="B66" s="26" t="str">
        <x:v>МУ 17</x:v>
      </x:c>
      <x:c r="C66" s="26" t="str">
        <x:v>6</x:v>
      </x:c>
      <x:c r="D66" s="26" t="str">
        <x:v>Уголок 75х5ГОСТ 8509-93 С245 ГОСТ 27772-2015 L= 825</x:v>
      </x:c>
      <x:c r="E66" s="26" t="n">
        <x:v>2</x:v>
      </x:c>
      <x:c r="F66" s="26" t="n">
        <x:v>0</x:v>
      </x:c>
      <x:c r="G66" s="26" t="n">
        <x:f>E66-F66</x:f>
        <x:v>2</x:v>
      </x:c>
      <x:c r="H66" s="26" t="str">
        <x:v>Л.29</x:v>
      </x:c>
      <x:c r="I66" s="26" t="str">
        <x:v>В спецификации есть; геометрически не размещено.</x:v>
      </x:c>
    </x:row>
    <x:row r="67" ht="46" customHeight="1">
      <x:c r="A67" s="22" t="str">
        <x:v>F3_MU18</x:v>
      </x:c>
      <x:c r="B67" s="22" t="str">
        <x:v>МУ 18</x:v>
      </x:c>
      <x:c r="C67" s="22" t="str">
        <x:v>3</x:v>
      </x:c>
      <x:c r="D67" s="22" t="str">
        <x:v>Уголок 75х5ГОСТ 8509-93 С245 ГОСТ 27772-2015 L=1750</x:v>
      </x:c>
      <x:c r="E67" s="22" t="n">
        <x:v>4</x:v>
      </x:c>
      <x:c r="F67" s="22" t="n">
        <x:v>4</x:v>
      </x:c>
      <x:c r="G67" s="22" t="n">
        <x:f>E67-F67</x:f>
        <x:v>0</x:v>
      </x:c>
      <x:c r="H67" s="22" t="str">
        <x:v>Л.28</x:v>
      </x:c>
      <x:c r="I67" s="22" t="str">
        <x:v>Длина по РД; размещение P2. Не КМД.</x:v>
      </x:c>
    </x:row>
    <x:row r="68" ht="46" customHeight="1">
      <x:c r="A68" s="26" t="str">
        <x:v>F3_MU18</x:v>
      </x:c>
      <x:c r="B68" s="26" t="str">
        <x:v>МУ 18</x:v>
      </x:c>
      <x:c r="C68" s="26" t="str">
        <x:v>4</x:v>
      </x:c>
      <x:c r="D68" s="26" t="str">
        <x:v>Уголок 75х5ГОСТ 8509-93 С245 ГОСТ 27772-2015 L=1100</x:v>
      </x:c>
      <x:c r="E68" s="26" t="n">
        <x:v>2</x:v>
      </x:c>
      <x:c r="F68" s="26" t="n">
        <x:v>2</x:v>
      </x:c>
      <x:c r="G68" s="26" t="n">
        <x:f>E68-F68</x:f>
        <x:v>0</x:v>
      </x:c>
      <x:c r="H68" s="26" t="str">
        <x:v>Л.28</x:v>
      </x:c>
      <x:c r="I68" s="26" t="str">
        <x:v>Длина по РД; размещение P2. Не КМД.</x:v>
      </x:c>
    </x:row>
    <x:row r="69" ht="46" customHeight="1">
      <x:c r="A69" s="22" t="str">
        <x:v>F3_MU18</x:v>
      </x:c>
      <x:c r="B69" s="22" t="str">
        <x:v>МУ 18</x:v>
      </x:c>
      <x:c r="C69" s="22" t="str">
        <x:v>5</x:v>
      </x:c>
      <x:c r="D69" s="22" t="str">
        <x:v>Уголок 75х5ГОСТ 8509-93 С245 ГОСТ 27772-2015 L=1900</x:v>
      </x:c>
      <x:c r="E69" s="22" t="n">
        <x:v>2</x:v>
      </x:c>
      <x:c r="F69" s="22" t="n">
        <x:v>2</x:v>
      </x:c>
      <x:c r="G69" s="22" t="n">
        <x:f>E69-F69</x:f>
        <x:v>0</x:v>
      </x:c>
      <x:c r="H69" s="22" t="str">
        <x:v>Л.28</x:v>
      </x:c>
      <x:c r="I69" s="22" t="str">
        <x:v>Длина по РД; размещение P2. Не КМД.</x:v>
      </x:c>
    </x:row>
    <x:row r="70" ht="46" customHeight="1">
      <x:c r="A70" s="26" t="str">
        <x:v>F3_MU19</x:v>
      </x:c>
      <x:c r="B70" s="26" t="str">
        <x:v>МУ 19</x:v>
      </x:c>
      <x:c r="C70" s="26" t="str">
        <x:v>1</x:v>
      </x:c>
      <x:c r="D70" s="26" t="str">
        <x:v>Уголок 75х5ГОСТ 8509-93 С245 ГОСТ 27772-2015 L=1750</x:v>
      </x:c>
      <x:c r="E70" s="26" t="n">
        <x:v>2</x:v>
      </x:c>
      <x:c r="F70" s="26" t="n">
        <x:v>2</x:v>
      </x:c>
      <x:c r="G70" s="26" t="n">
        <x:f>E70-F70</x:f>
        <x:v>0</x:v>
      </x:c>
      <x:c r="H70" s="26" t="str">
        <x:v>Л.30</x:v>
      </x:c>
      <x:c r="I70" s="26" t="str">
        <x:v>Длина по РД; размещение P2. Не КМД.</x:v>
      </x:c>
    </x:row>
    <x:row r="71" ht="46" customHeight="1">
      <x:c r="A71" s="22" t="str">
        <x:v>F3_MU19</x:v>
      </x:c>
      <x:c r="B71" s="22" t="str">
        <x:v>МУ 19</x:v>
      </x:c>
      <x:c r="C71" s="22" t="str">
        <x:v>2</x:v>
      </x:c>
      <x:c r="D71" s="22" t="str">
        <x:v>Уголок 75х5ГОСТ 8509-93 С245 ГОСТ 27772-2015 L= 1050</x:v>
      </x:c>
      <x:c r="E71" s="22" t="n">
        <x:v>2</x:v>
      </x:c>
      <x:c r="F71" s="22" t="n">
        <x:v>2</x:v>
      </x:c>
      <x:c r="G71" s="22" t="n">
        <x:f>E71-F71</x:f>
        <x:v>0</x:v>
      </x:c>
      <x:c r="H71" s="22" t="str">
        <x:v>Л.30</x:v>
      </x:c>
      <x:c r="I71" s="22" t="str">
        <x:v>Длина по РД; размещение P2. Не КМД.</x:v>
      </x:c>
    </x:row>
    <x:row r="72" ht="46" customHeight="1">
      <x:c r="A72" s="26" t="str">
        <x:v>F3_MU19</x:v>
      </x:c>
      <x:c r="B72" s="26" t="str">
        <x:v>МУ 19</x:v>
      </x:c>
      <x:c r="C72" s="26" t="str">
        <x:v>3</x:v>
      </x:c>
      <x:c r="D72" s="26" t="str">
        <x:v>Уголок 75х5ГОСТ 8509-93 С245 ГОСТ 27772-2015 L= 1525</x:v>
      </x:c>
      <x:c r="E72" s="26" t="n">
        <x:v>2</x:v>
      </x:c>
      <x:c r="F72" s="26" t="n">
        <x:v>0</x:v>
      </x:c>
      <x:c r="G72" s="26" t="n">
        <x:f>E72-F72</x:f>
        <x:v>2</x:v>
      </x:c>
      <x:c r="H72" s="26" t="str">
        <x:v>Л.30</x:v>
      </x:c>
      <x:c r="I72" s="26" t="str">
        <x:v>В спецификации есть; геометрически не размещено.</x:v>
      </x:c>
    </x:row>
    <x:row r="73" ht="46" customHeight="1">
      <x:c r="A73" s="22" t="str">
        <x:v>F3_MU32</x:v>
      </x:c>
      <x:c r="B73" s="22" t="str">
        <x:v>МУ 32</x:v>
      </x:c>
      <x:c r="C73" s="22" t="str">
        <x:v>2</x:v>
      </x:c>
      <x:c r="D73" s="22" t="str">
        <x:v>Уголок 75х5ГОСТ 8509-93 С245 ГОСТ 27772-2015 L=1750</x:v>
      </x:c>
      <x:c r="E73" s="22" t="n">
        <x:v>2</x:v>
      </x:c>
      <x:c r="F73" s="22" t="n">
        <x:v>2</x:v>
      </x:c>
      <x:c r="G73" s="22" t="n">
        <x:f>E73-F73</x:f>
        <x:v>0</x:v>
      </x:c>
      <x:c r="H73" s="22" t="str">
        <x:v>Л.36</x:v>
      </x:c>
      <x:c r="I73" s="22" t="str">
        <x:v>Длина по РД; размещение P2. Не КМД.</x:v>
      </x:c>
    </x:row>
    <x:row r="74" ht="46" customHeight="1">
      <x:c r="A74" s="26" t="str">
        <x:v>F3_MU32</x:v>
      </x:c>
      <x:c r="B74" s="26" t="str">
        <x:v>МУ 32</x:v>
      </x:c>
      <x:c r="C74" s="26" t="str">
        <x:v>3</x:v>
      </x:c>
      <x:c r="D74" s="26" t="str">
        <x:v>Уголок 75х5ГОСТ 8509-93 С245 ГОСТ 27772-2015 L= 900</x:v>
      </x:c>
      <x:c r="E74" s="26" t="n">
        <x:v>3</x:v>
      </x:c>
      <x:c r="F74" s="26" t="n">
        <x:v>2</x:v>
      </x:c>
      <x:c r="G74" s="26" t="n">
        <x:f>E74-F74</x:f>
        <x:v>1</x:v>
      </x:c>
      <x:c r="H74" s="26" t="str">
        <x:v>Л.36</x:v>
      </x:c>
      <x:c r="I74" s="26" t="str">
        <x:v>Длина по РД; размещение P2. Не КМД.</x:v>
      </x:c>
    </x:row>
    <x:row r="75" ht="46" customHeight="1">
      <x:c r="A75" s="22" t="str">
        <x:v>F3_MU33</x:v>
      </x:c>
      <x:c r="B75" s="22" t="str">
        <x:v>МУ 33</x:v>
      </x:c>
      <x:c r="C75" s="22" t="str">
        <x:v>5</x:v>
      </x:c>
      <x:c r="D75" s="22" t="str">
        <x:v>Уголок 75х5ГОСТ 8509-93 С245 ГОСТ 27772-2015 L=1750</x:v>
      </x:c>
      <x:c r="E75" s="22" t="n">
        <x:v>2</x:v>
      </x:c>
      <x:c r="F75" s="22" t="n">
        <x:v>2</x:v>
      </x:c>
      <x:c r="G75" s="22" t="n">
        <x:f>E75-F75</x:f>
        <x:v>0</x:v>
      </x:c>
      <x:c r="H75" s="22" t="str">
        <x:v>Л.36</x:v>
      </x:c>
      <x:c r="I75" s="22" t="str">
        <x:v>Длина по РД; размещение P2. Не КМД.</x:v>
      </x:c>
    </x:row>
    <x:row r="76" ht="46" customHeight="1">
      <x:c r="A76" s="26" t="str">
        <x:v>F3_MU33</x:v>
      </x:c>
      <x:c r="B76" s="26" t="str">
        <x:v>МУ 33</x:v>
      </x:c>
      <x:c r="C76" s="26" t="str">
        <x:v>6</x:v>
      </x:c>
      <x:c r="D76" s="26" t="str">
        <x:v>Уголок 75х5ГОСТ 8509-93 С245 ГОСТ 27772-2015 L= 1310</x:v>
      </x:c>
      <x:c r="E76" s="26" t="n">
        <x:v>2</x:v>
      </x:c>
      <x:c r="F76" s="26" t="n">
        <x:v>2</x:v>
      </x:c>
      <x:c r="G76" s="26" t="n">
        <x:f>E76-F76</x:f>
        <x:v>0</x:v>
      </x:c>
      <x:c r="H76" s="26" t="str">
        <x:v>Л.36</x:v>
      </x:c>
      <x:c r="I76" s="26" t="str">
        <x:v>Длина по РД; размещение P2. Не КМД.</x:v>
      </x:c>
    </x:row>
  </x:sheetData>
  <x:mergeCells>
    <x:mergeCell ref="A1:I2"/>
    <x:mergeCell ref="A3:I3"/>
  </x:mergeCells>
  <x:conditionalFormatting sqref="A6:I76">
    <x:cfRule type="expression" dxfId="3" priority="1">
      <x:formula>$G6&gt;0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0d4b933fc542e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36" hidden="0" customWidth="1"/>
    <x:col min="4" max="4" width="70" hidden="0" customWidth="1"/>
  </x:cols>
  <x:sheetData>
    <x:row r="1" ht="22" customHeight="1">
      <x:c r="A1" s="95" t="str">
        <x:v>Реестр вопросов · R05 + сохранённые R04</x:v>
      </x:c>
      <x:c r="B1" s="95"/>
      <x:c r="C1" s="95"/>
      <x:c r="D1" s="95"/>
      <x:c r="E1" s="96"/>
      <x:c r="F1" s="96"/>
      <x:c r="G1" s="96"/>
      <x:c r="H1" s="96"/>
      <x:c r="I1" s="96"/>
      <x:c r="J1" s="96"/>
    </x:row>
    <x:row r="2" ht="22" customHeight="1">
      <x:c r="A2" s="95"/>
      <x:c r="B2" s="95"/>
      <x:c r="C2" s="95"/>
      <x:c r="D2" s="95"/>
      <x:c r="E2" s="96"/>
      <x:c r="F2" s="96"/>
      <x:c r="G2" s="96"/>
      <x:c r="H2" s="96"/>
      <x:c r="I2" s="96"/>
      <x:c r="J2" s="96"/>
    </x:row>
    <x:row r="3" ht="36" customHeight="1">
      <x:c r="A3" s="10" t="str">
        <x:v>Замечания к РД не являются самовольным изменением конструктивного решения.</x:v>
      </x:c>
      <x:c r="B3" s="10"/>
      <x:c r="C3" s="10"/>
      <x:c r="D3" s="10"/>
    </x:row>
    <x:row r="5" ht="40" customHeight="1">
      <x:c r="A5" s="16" t="str">
        <x:v>ID</x:v>
      </x:c>
      <x:c r="B5" s="16" t="str">
        <x:v>Вопрос</x:v>
      </x:c>
      <x:c r="C5" s="16" t="str">
        <x:v>Источник</x:v>
      </x:c>
      <x:c r="D5" s="16" t="str">
        <x:v>Что показано / что требуется</x:v>
      </x:c>
    </x:row>
    <x:row r="6" ht="90" customHeight="1">
      <x:c r="A6" s="26" t="str">
        <x:v>RFI-R05-01</x:v>
      </x:c>
      <x:c r="B6" s="26" t="str">
        <x:v>Планы и количественные заголовки не совпадают</x:v>
      </x:c>
      <x:c r="C6" s="26" t="str">
        <x:v>АС.2 л.20/21; детали25,37</x:v>
      </x:c>
      <x:c r="D6" s="26" t="str">
        <x:v>В модели23МУ по л.20 и25МУ по л.21; МУ10 дважды на верхнем плане. Заголовок МУ6 содержит3шт, на этих двух схемах суммарно2; МУ34 в детали2шт, на л.21 один. Размещены только показанные на планах экземпляры.</x:v>
      </x:c>
    </x:row>
    <x:row r="7" ht="90" customHeight="1">
      <x:c r="A7" s="22" t="str">
        <x:v>RFI-R05-02</x:v>
      </x:c>
      <x:c r="B7" s="22" t="str">
        <x:v>КР: 31шт, шаг200 и пролёт5780</x:v>
      </x:c>
      <x:c r="C7" s="22" t="str">
        <x:v>АС.2 л.24–37,39</x:v>
      </x:c>
      <x:c r="D7" s="22" t="str">
        <x:v>Раскладка каркасов не заменена равномерным «подгоном». 31каркас при30интервалах200 требует6000мм, тогда как на схеме5780. КР6 дан отдельным поясняющим образцом; полное армирование в модели не заявлено.</x:v>
      </x:c>
    </x:row>
    <x:row r="8" ht="90" customHeight="1">
      <x:c r="A8" s="26" t="str">
        <x:v>RFI-R05-03</x:v>
      </x:c>
      <x:c r="B8" s="26" t="str">
        <x:v>МУ31: подпись/графика/деталь отверстия</x:v>
      </x:c>
      <x:c r="C8" s="26" t="str">
        <x:v>АС.2 л.21 и35</x:v>
      </x:c>
      <x:c r="D8" s="26" t="str">
        <x:v>На плане есть250×270, графический контуроколо250×250; деталь показывает270×270. В геометрии принят габарит детали270×270 с сохранением графической привязки. Нужна увязка.</x:v>
      </x:c>
    </x:row>
    <x:row r="9" ht="90" customHeight="1">
      <x:c r="A9" s="22" t="str">
        <x:v>RFI-R05-04</x:v>
      </x:c>
      <x:c r="B9" s="22" t="str">
        <x:v>МУ34: не смешивать редакции армирования</x:v>
      </x:c>
      <x:c r="C9" s="22" t="str">
        <x:v>Последний полный АС.2 л.37 / ранее присланная выборка л.37</x:v>
      </x:c>
      <x:c r="D9" s="22" t="str">
        <x:v>Использована последняя полная версия: нижнееØ16 иверхнееØ12, по96,64п.м,14дополнительныхØ20 L1250,76П1. Прежняя выборка сØ18 иКР11 не подмешана; официальную ведомость замещения листов следует подтвердить.</x:v>
      </x:c>
    </x:row>
    <x:row r="10" ht="90" customHeight="1">
      <x:c r="A10" s="26" t="str">
        <x:v>RFI-R05-05</x:v>
      </x:c>
      <x:c r="B10" s="26" t="str">
        <x:v>Западное перекрытие+4,700 / +4,800</x:v>
      </x:c>
      <x:c r="C10" s="26" t="str">
        <x:v>АС.2 л.4/8/20/21; АР л.10</x:v>
      </x:c>
      <x:c r="D10" s="26" t="str">
        <x:v>Вместо ложных сплошных уровней+3,500/+7,100 в осях1–3/В–Ж показана повышенная оболочка+4,700 и второй свет. +4,700 — прямое «верх плиты» л.4/8; л.20 также содержит+4,800. МУ23 отнесён к этой зоне+4,700 условно; подтвердить отметки и точные границы.</x:v>
      </x:c>
    </x:row>
    <x:row r="11" ht="90" customHeight="1">
      <x:c r="A11" s="22" t="str">
        <x:v>RFI-R05-06</x:v>
      </x:c>
      <x:c r="B11" s="22" t="str">
        <x:v>Б1: края коротышей и существующие опоры</x:v>
      </x:c>
      <x:c r="C11" s="22" t="str">
        <x:v>АС.2 л.24; узел1 ипродольный профиль</x:v>
      </x:c>
      <x:c r="D11" s="22" t="str">
        <x:v>Длины5780,125×20 подрезки,110опирание и450ширина ригеля — по РД. Первые отступы коротышей не размерены; они только в поясняющем режиме, вне главногоGLB. Фактические ригели/пустотные плиты полностью не восстановлены.</x:v>
      </x:c>
    </x:row>
    <x:row r="12" ht="90" customHeight="1">
      <x:c r="A12" s="26" t="str">
        <x:v>RFI-R05-07</x:v>
      </x:c>
      <x:c r="B12" s="26" t="str">
        <x:v>Обрамления отверстий представлены частично</x:v>
      </x:c>
      <x:c r="C12" s="26" t="str">
        <x:v>АС.2 л.24–37</x:v>
      </x:c>
      <x:c r="D12" s="26" t="str">
        <x:v>В 3D введены только пары уголков, чьи длины и количество сопоставлены с отверстием и ведомостью. Неразмещённые детали сохранены в реестре, не заменены универсальными рамками. Не выпускКМД и не комплект раскроя.</x:v>
      </x:c>
    </x:row>
    <x:row r="13" ht="90" customHeight="1">
      <x:c r="A13" s="22" t="str">
        <x:v>RFI-R05-08</x:v>
      </x:c>
      <x:c r="B13" s="22" t="str">
        <x:v>Площадь демонтажа и объём МУ — разные ведомости</x:v>
      </x:c>
      <x:c r="C13" s="22" t="str">
        <x:v>АС.2 л.4/5 и20/21</x:v>
      </x:c>
      <x:c r="D13" s="22" t="str">
        <x:v>217,2 и201,82м² демонтажа относятся ко всем работам соответствующего перекрытия, в томчисле лестнице/лифтам. Виды с оранжевыми зонами показывают только замещение МУ; их нельзя считать полной картой резки/демонтажа.</x:v>
      </x:c>
    </x:row>
    <x:row r="14" ht="90" customHeight="1">
      <x:c r="A14" s="26" t="str">
        <x:v>RFI-R05-09</x:v>
      </x:c>
      <x:c r="B14" s="26" t="str">
        <x:v>МУ27: длина стержня и масса</x:v>
      </x:c>
      <x:c r="C14" s="26" t="str">
        <x:v>АС.2 л.33</x:v>
      </x:c>
      <x:c r="D14" s="26" t="str">
        <x:v>Для позиции6 в таблицеL290,24шт,масса3,5кг. Сохранено буквально, арифметическая масса выделена как спорная. Длину не заменяли на2220 по каркасуКР3.</x:v>
      </x:c>
    </x:row>
    <x:row r="15" ht="90" customHeight="1">
      <x:c r="A15" s="22" t="str">
        <x:v>RFI-R04-01</x:v>
      </x:c>
      <x:c r="B15" s="22" t="str">
        <x:v>4 БСР в ведомости / 8 отверстий двух листов</x:v>
      </x:c>
      <x:c r="C15" s="22" t="str">
        <x:v>АС.2 л.56 А/а–а и общая таблица; л.59</x:v>
      </x:c>
      <x:c r="D15" s="22" t="str">
        <x:v>Два КС1, по одному листу580×200×10. На листе4отв.Ø19 — всего8 мест; общая таблица указывает4БСРМ16×150. Анкеры в модели только условные, из основного GLB исключены.</x:v>
      </x:c>
    </x:row>
    <x:row r="16" ht="90" customHeight="1">
      <x:c r="A16" s="26" t="str">
        <x:v>RFI-R04-02</x:v>
      </x:c>
      <x:c r="B16" s="26" t="str">
        <x:v>Примыкание пола к Л-1: 20 мм / общий узел8мм</x:v>
      </x:c>
      <x:c r="C16" s="26" t="str">
        <x:v>АС.2 л.11 план / л.15 узел2</x:v>
      </x:c>
      <x:c r="D16" s="26" t="str">
        <x:v>В плане у Л-1 размер20мм; на общем узле демпферная лента8мм. Сохраняется20мм в наружном разрезе, без назначения материала заполнения; внутренний зазор — гипотеза. Требуется локальный согласованный узел.</x:v>
      </x:c>
    </x:row>
    <x:row r="17" ht="90" customHeight="1">
      <x:c r="A17" s="22" t="str">
        <x:v>RFI-R04-03</x:v>
      </x:c>
      <x:c r="B17" s="22" t="str">
        <x:v>Опорные подушки: план известен, h не указан</x:v>
      </x:c>
      <x:c r="C17" s="22" t="str">
        <x:v>АС.2 л.56 сечение8–8; ссылка на серию1.069-1 вып.1</x:v>
      </x:c>
      <x:c r="D17" s="22" t="str">
        <x:v>Сечение8–8 показывает план250×380, а не высоту380. Высота120мм оставлена как габарит R03. Масса33кг не использована для выдумывания высоты.</x:v>
      </x:c>
    </x:row>
    <x:row r="18" ht="90" customHeight="1">
      <x:c r="A18" s="26" t="str">
        <x:v>RFI-R04-04</x:v>
      </x:c>
      <x:c r="B18" s="26" t="str">
        <x:v>52 метиза / сопряжения с косоурами не замкнуты</x:v>
      </x:c>
      <x:c r="C18" s="26" t="str">
        <x:v>АС.2 л.56–59 и R03</x:v>
      </x:c>
      <x:c r="D18" s="26" t="str">
        <x:v>52 винта и по104 шайбы/гайки соответствуют ведомости и52местам на6МБ1 и1МБ3. Это не подтверждает монтажную увязку с22уголками косоуров. Прежние ошибки расположения и длины маршей сохраняются.</x:v>
      </x:c>
    </x:row>
    <x:row r="19" ht="90" customHeight="1">
      <x:c r="A19" s="22" t="str">
        <x:v>RFI-R04-05</x:v>
      </x:c>
      <x:c r="B19" s="22" t="str">
        <x:v>Пол не должен закрыть канал ВК</x:v>
      </x:c>
      <x:c r="C19" s="22" t="str">
        <x:v>АС.2 л.16–18, сечение12–12</x:v>
      </x:c>
      <x:c r="D19" s="22" t="str">
        <x:v>Через подземную часть проходит лоток800×2050. Пол добавлен только северным фрагментом у нижнего опирания, не на всю площадь лестницы. Засыпка, перекрытие канала и вся площадь пола в R04 не рассчитаны.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64a31e9a41c141c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7" hidden="0" customWidth="1"/>
    <x:col min="4" max="4" width="38" hidden="0" customWidth="1"/>
    <x:col min="5" max="5" width="55" hidden="0" customWidth="1"/>
  </x:cols>
  <x:sheetData>
    <x:row r="1" ht="22" customHeight="1">
      <x:c r="A1" s="95" t="str">
        <x:v>Источники и границы выпуска</x:v>
      </x:c>
      <x:c r="B1" s="95"/>
      <x:c r="C1" s="95"/>
      <x:c r="D1" s="95"/>
      <x:c r="E1" s="95"/>
      <x:c r="F1" s="96"/>
      <x:c r="G1" s="96"/>
      <x:c r="H1" s="96"/>
      <x:c r="I1" s="96"/>
      <x:c r="J1" s="96"/>
    </x:row>
    <x:row r="2" ht="22" customHeight="1">
      <x:c r="A2" s="95"/>
      <x:c r="B2" s="95"/>
      <x:c r="C2" s="95"/>
      <x:c r="D2" s="95"/>
      <x:c r="E2" s="95"/>
      <x:c r="F2" s="96"/>
      <x:c r="G2" s="96"/>
      <x:c r="H2" s="96"/>
      <x:c r="I2" s="96"/>
      <x:c r="J2" s="96"/>
    </x:row>
    <x:row r="3" ht="36" customHeight="1">
      <x:c r="A3" s="10" t="str">
        <x:v>R05 — развитие геометрической модели по РД. Это не проверка расчётной несущей способности и не исполнительная съёмка.</x:v>
      </x:c>
      <x:c r="B3" s="10"/>
      <x:c r="C3" s="10"/>
      <x:c r="D3" s="10"/>
      <x:c r="E3" s="10"/>
    </x:row>
    <x:row r="5" ht="40" customHeight="1">
      <x:c r="A5" s="16" t="str">
        <x:v>Код</x:v>
      </x:c>
      <x:c r="B5" s="16" t="str">
        <x:v>Файл / лист</x:v>
      </x:c>
      <x:c r="C5" s="16" t="str">
        <x:v>Страницы / объём</x:v>
      </x:c>
      <x:c r="D5" s="16" t="str">
        <x:v>Использование</x:v>
      </x:c>
      <x:c r="E5" s="16" t="str">
        <x:v>Ограничение</x:v>
      </x:c>
    </x:row>
    <x:row r="6" ht="72" customHeight="1">
      <x:c r="A6" s="26" t="str">
        <x:v>S01</x:v>
      </x:c>
      <x:c r="B6" s="26" t="str">
        <x:v>01-2024-ИЯИ-АС.2 изм от 03.07.26.pdf</x:v>
      </x:c>
      <x:c r="C6" s="26" t="str">
        <x:v>Полный альбом,162PDF-страницы</x:v>
      </x:c>
      <x:c r="D6" s="26" t="str">
        <x:v>Основной источник текущих дополнений</x:v>
      </x:c>
      <x:c r="E6" s="26" t="str">
        <x:v>Официальная ведомость замещения не представлена; приоритет принят по последнему поручению пользователя.</x:v>
      </x:c>
    </x:row>
    <x:row r="7" ht="72" customHeight="1">
      <x:c r="A7" s="22" t="str">
        <x:v>S02</x:v>
      </x:c>
      <x:c r="B7" s="22" t="str">
        <x:v>01-2024-ИЯИ-АС.2-объединены(1).pdf</x:v>
      </x:c>
      <x:c r="C7" s="22" t="str">
        <x:v>Ранняя выборка,45страниц</x:v>
      </x:c>
      <x:c r="D7" s="22" t="str">
        <x:v>Сопоставление МУ34 / сохранённые исходники кровли</x:v>
      </x:c>
      <x:c r="E7" s="22" t="str">
        <x:v>В армирование МУ34 не смешивалась.</x:v>
      </x:c>
    </x:row>
    <x:row r="8" ht="72" customHeight="1">
      <x:c r="A8" s="26" t="str">
        <x:v>S03</x:v>
      </x:c>
      <x:c r="B8" s="26" t="str">
        <x:v>Troitsk_B24_R04/model/scene.json</x:v>
      </x:c>
      <x:c r="C8" s="26" t="str">
        <x:v>2105 объектов</x:v>
      </x:c>
      <x:c r="D8" s="26" t="str">
        <x:v>Геометрическая база здания/кровли/Л-1</x:v>
      </x:c>
      <x:c r="E8" s="26" t="str">
        <x:v>Сохранена; изменены только FLOOR2/FLOOR3.</x:v>
      </x:c>
    </x:row>
    <x:row r="9" ht="72" customHeight="1">
      <x:c r="A9" s="22" t="str">
        <x:v>S04</x:v>
      </x:c>
      <x:c r="B9" s="22" t="str">
        <x:v>АС.2, листы4/5</x:v>
      </x:c>
      <x:c r="C9" s="22" t="str">
        <x:v>PDF5/6</x:v>
      </x:c>
      <x:c r="D9" s="22" t="str">
        <x:v>Демонтаж по перекрытиям</x:v>
      </x:c>
      <x:c r="E9" s="22" t="str">
        <x:v>Числа источника не равны объёмам замещения новых МУ.</x:v>
      </x:c>
    </x:row>
    <x:row r="10" ht="72" customHeight="1">
      <x:c r="A10" s="26" t="str">
        <x:v>S05</x:v>
      </x:c>
      <x:c r="B10" s="26" t="str">
        <x:v>АС.2, листы8/9</x:v>
      </x:c>
      <x:c r="C10" s="26" t="str">
        <x:v>PDF9/10</x:v>
      </x:c>
      <x:c r="D10" s="26" t="str">
        <x:v>Дефекты и ремонт</x:v>
      </x:c>
      <x:c r="E10" s="26" t="str">
        <x:v>Положения подписей — маркеры, не реальные границы дефектов.</x:v>
      </x:c>
    </x:row>
    <x:row r="11" ht="72" customHeight="1">
      <x:c r="A11" s="22" t="str">
        <x:v>S06</x:v>
      </x:c>
      <x:c r="B11" s="22" t="str">
        <x:v>АС.2, листы20/21</x:v>
      </x:c>
      <x:c r="C11" s="22" t="str">
        <x:v>PDF21/22</x:v>
      </x:c>
      <x:c r="D11" s="22" t="str">
        <x:v>48 размещений и95 контуров отверстий</x:v>
      </x:c>
      <x:c r="E11" s="22" t="str">
        <x:v>Привязка по калиброванной векторной графике, P2.</x:v>
      </x:c>
    </x:row>
    <x:row r="12" ht="72" customHeight="1">
      <x:c r="A12" s="26" t="str">
        <x:v>S07</x:v>
      </x:c>
      <x:c r="B12" s="26" t="str">
        <x:v>АС.2, листы23–37;39</x:v>
      </x:c>
      <x:c r="C12" s="26" t="str">
        <x:v>PDF24–38;40</x:v>
      </x:c>
      <x:c r="D12" s="26" t="str">
        <x:v>Детали34марок МУ, Б1 и КР</x:v>
      </x:c>
      <x:c r="E12" s="26" t="str">
        <x:v>Материалы перенесены по таблицам; часть соединений только координационная.</x:v>
      </x:c>
    </x:row>
    <x:row r="13" ht="72" customHeight="1">
      <x:c r="A13" s="22" t="str">
        <x:v>S08</x:v>
      </x:c>
      <x:c r="B13" s="22" t="str">
        <x:v>R04, узлы лестницы</x:v>
      </x:c>
      <x:c r="C13" s="22" t="str">
        <x:v>Базовая геометрия и её замечания</x:v>
      </x:c>
      <x:c r="D13" s="22" t="str">
        <x:v>Л-1 и узлы−0,100/±0,000</x:v>
      </x:c>
      <x:c r="E13" s="22" t="str">
        <x:v>Не переделаны; прежние нерешённые вопросы остаются.</x:v>
      </x:c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06cd26b435994a0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5" hidden="0" customWidth="1"/>
    <x:col min="4" max="4" width="15" hidden="0" customWidth="1"/>
    <x:col min="5" max="5" width="45" hidden="0" customWidth="1"/>
  </x:cols>
  <x:sheetData>
    <x:row r="1" ht="22" customHeight="1">
      <x:c r="A1" s="95" t="str">
        <x:v>Контрольная сверка</x:v>
      </x:c>
      <x:c r="B1" s="95"/>
      <x:c r="C1" s="95"/>
      <x:c r="D1" s="95"/>
      <x:c r="E1" s="95"/>
      <x:c r="F1" s="96"/>
      <x:c r="G1" s="96"/>
      <x:c r="H1" s="96"/>
      <x:c r="I1" s="96"/>
      <x:c r="J1" s="96"/>
    </x:row>
    <x:row r="2" ht="22" customHeight="1">
      <x:c r="A2" s="95"/>
      <x:c r="B2" s="95"/>
      <x:c r="C2" s="95"/>
      <x:c r="D2" s="95"/>
      <x:c r="E2" s="95"/>
      <x:c r="F2" s="96"/>
      <x:c r="G2" s="96"/>
      <x:c r="H2" s="96"/>
      <x:c r="I2" s="96"/>
      <x:c r="J2" s="96"/>
    </x:row>
    <x:row r="3" ht="36" customHeight="1">
      <x:c r="A3" s="10" t="str">
        <x:v>PASS ниже означает арифметическое соответствие реестров, а не расчёт несущей способности.</x:v>
      </x:c>
      <x:c r="B3" s="10"/>
      <x:c r="C3" s="10"/>
      <x:c r="D3" s="10"/>
      <x:c r="E3" s="10"/>
    </x:row>
    <x:row r="5" ht="40" customHeight="1">
      <x:c r="A5" s="16" t="str">
        <x:v>Проверка</x:v>
      </x:c>
      <x:c r="B5" s="16" t="str">
        <x:v>Ожидается</x:v>
      </x:c>
      <x:c r="C5" s="16" t="str">
        <x:v>В реестре</x:v>
      </x:c>
      <x:c r="D5" s="16" t="str">
        <x:v>Проверка</x:v>
      </x:c>
      <x:c r="E5" s="16" t="str">
        <x:v>Основание</x:v>
      </x:c>
    </x:row>
    <x:row r="6" ht="46" customHeight="1">
      <x:c r="A6" s="26" t="str">
        <x:v>МУ по схеме20</x:v>
      </x:c>
      <x:c r="B6" s="26" t="n">
        <x:v>23</x:v>
      </x:c>
      <x:c r="C6" s="26" t="n">
        <x:f>'00_Свод'!C6</x:f>
        <x:v>23</x:v>
      </x:c>
      <x:c r="D6" s="26" t="str">
        <x:f>IF(B6=C6,"PASS","CHECK")</x:f>
        <x:v>PASS</x:v>
      </x:c>
      <x:c r="E6" s="26" t="str">
        <x:v>По плану23 размещения, отдельно от Л-1.</x:v>
      </x:c>
    </x:row>
    <x:row r="7" ht="46" customHeight="1">
      <x:c r="A7" s="22" t="str">
        <x:v>МУ по схеме21</x:v>
      </x:c>
      <x:c r="B7" s="22" t="n">
        <x:v>25</x:v>
      </x:c>
      <x:c r="C7" s="22" t="n">
        <x:f>'00_Свод'!C7</x:f>
        <x:v>25</x:v>
      </x:c>
      <x:c r="D7" s="22" t="str">
        <x:f>IF(B7=C7,"PASS","CHECK")</x:f>
        <x:v>PASS</x:v>
      </x:c>
      <x:c r="E7" s="22" t="str">
        <x:v>По плану25 размещений, включая повтор МУ10.</x:v>
      </x:c>
    </x:row>
    <x:row r="8" ht="46" customHeight="1">
      <x:c r="A8" s="26" t="str">
        <x:v>Балки Б1</x:v>
      </x:c>
      <x:c r="B8" s="26" t="n">
        <x:v>68</x:v>
      </x:c>
      <x:c r="C8" s="26" t="n">
        <x:f>'00_Свод'!D8</x:f>
        <x:v>68</x:v>
      </x:c>
      <x:c r="D8" s="26" t="str">
        <x:f>IF(B8=C8,"PASS","CHECK")</x:f>
        <x:v>PASS</x:v>
      </x:c>
      <x:c r="E8" s="26" t="str">
        <x:v>2 на каждый из34 стальных МУ.</x:v>
      </x:c>
    </x:row>
    <x:row r="9" ht="46" customHeight="1">
      <x:c r="A9" s="22" t="str">
        <x:v>Контуры отверстий</x:v>
      </x:c>
      <x:c r="B9" s="22" t="n">
        <x:v>95</x:v>
      </x:c>
      <x:c r="C9" s="22" t="n">
        <x:f>'00_Свод'!G8</x:f>
        <x:v>95</x:v>
      </x:c>
      <x:c r="D9" s="22" t="str">
        <x:f>IF(B9=C9,"PASS","CHECK")</x:f>
        <x:v>PASS</x:v>
      </x:c>
      <x:c r="E9" s="22" t="str">
        <x:v>Внутри добавленных МУ, не все отверстия здания.</x:v>
      </x:c>
    </x:row>
    <x:row r="10" ht="46" customHeight="1">
      <x:c r="A10" s="26" t="str">
        <x:v>Уголки обрамления по РД</x:v>
      </x:c>
      <x:c r="B10" s="26" t="n">
        <x:v>160</x:v>
      </x:c>
      <x:c r="C10" s="26" t="n">
        <x:f>SUM('07_Обрамления'!E6:E76)</x:f>
        <x:v>160</x:v>
      </x:c>
      <x:c r="D10" s="26" t="str">
        <x:f>IF(B10=C10,"PASS","CHECK")</x:f>
        <x:v>PASS</x:v>
      </x:c>
      <x:c r="E10" s="26" t="str">
        <x:v>Сумма количества из исходных строк.</x:v>
      </x:c>
    </x:row>
    <x:row r="11" ht="46" customHeight="1">
      <x:c r="A11" s="22" t="str">
        <x:v>Уголки обрамления в3D</x:v>
      </x:c>
      <x:c r="B11" s="22" t="n">
        <x:v>126</x:v>
      </x:c>
      <x:c r="C11" s="22" t="n">
        <x:f>SUM('07_Обрамления'!F6:F76)</x:f>
        <x:v>126</x:v>
      </x:c>
      <x:c r="D11" s="22" t="str">
        <x:f>IF(B11=C11,"PASS","CHECK")</x:f>
        <x:v>PASS</x:v>
      </x:c>
      <x:c r="E11" s="22" t="str">
        <x:v>Частичный перенос; не критерий готовности КМД.</x:v>
      </x:c>
    </x:row>
    <x:row r="12" ht="46" customHeight="1">
      <x:c r="A12" s="26" t="str">
        <x:v>Неразмещённые уголки</x:v>
      </x:c>
      <x:c r="B12" s="26" t="n">
        <x:v>34</x:v>
      </x:c>
      <x:c r="C12" s="26" t="n">
        <x:f>SUM('07_Обрамления'!G6:G76)</x:f>
        <x:v>34</x:v>
      </x:c>
      <x:c r="D12" s="26" t="str">
        <x:f>IF(B12=C12,"PASS","CHECK")</x:f>
        <x:v>PASS</x:v>
      </x:c>
      <x:c r="E12" s="26" t="str">
        <x:v>Сохранены в ведомости, не потеряны.</x:v>
      </x:c>
    </x:row>
  </x:sheetData>
  <x:mergeCells>
    <x:mergeCell ref="A1:E2"/>
    <x:mergeCell ref="A3:E3"/>
  </x:mergeCells>
  <x:conditionalFormatting sqref="D6:D12">
    <x:cfRule type="expression" dxfId="4" priority="1">
      <x:formula>$D6="CHECK"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e8beb1e1f8421e"/>
  </x:tableParts>
</x:worksheet>
</file>