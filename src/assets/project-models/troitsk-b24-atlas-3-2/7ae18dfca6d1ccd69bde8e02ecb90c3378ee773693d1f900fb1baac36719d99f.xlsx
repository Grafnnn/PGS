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4b721f576048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Паспорт" sheetId="1" r:id="R651d63b292d24bc7"/>
    <x:sheet xmlns:r="http://schemas.openxmlformats.org/officeDocument/2006/relationships" name="01_МУ_поэтажно" sheetId="2" r:id="Rde43ac93de7744b1"/>
    <x:sheet xmlns:r="http://schemas.openxmlformats.org/officeDocument/2006/relationships" name="02_Б1_реестр" sheetId="3" r:id="Ra2e0d11d62094937"/>
    <x:sheet xmlns:r="http://schemas.openxmlformats.org/officeDocument/2006/relationships" name="03_Фундаменты" sheetId="4" r:id="Rd25b9f14dd2348c0"/>
    <x:sheet xmlns:r="http://schemas.openxmlformats.org/officeDocument/2006/relationships" name="04_Сваи_входов" sheetId="5" r:id="R73ce36f571ba497f"/>
    <x:sheet xmlns:r="http://schemas.openxmlformats.org/officeDocument/2006/relationships" name="05_Замечания" sheetId="6" r:id="Rfc0b6d0f181a4f68"/>
    <x:sheet xmlns:r="http://schemas.openxmlformats.org/officeDocument/2006/relationships" name="06_Источники" sheetId="7" r:id="R36524a7f9f5545cf"/>
    <x:sheet xmlns:r="http://schemas.openxmlformats.org/officeDocument/2006/relationships" name="07_Свод_перекрытий" sheetId="8" r:id="R9cf935f5b13643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"/>
    <x:numFmt numFmtId="201" formatCode="0.00"/>
    <x:numFmt numFmtId="202" formatCode="0.00000"/>
  </x:numFmts>
  <x:fonts count="6">
    <x:font>
      <x:sz val="11"/>
      <x:name val="Carlito"/>
    </x:font>
    <x:font>
      <x:b/>
      <x:sz val="16"/>
      <x:color rgb="FFFFFFFF"/>
      <x:name val="Carlito"/>
    </x:font>
    <x:font>
      <x:sz val="10"/>
      <x:color rgb="FF6B8189"/>
      <x:name val="Carlito"/>
    </x:font>
    <x:font>
      <x:b/>
      <x:sz val="10"/>
      <x:color rgb="FFFFFFFF"/>
      <x:name val="Carlito"/>
    </x:font>
    <x:font>
      <x:sz val="10"/>
      <x:name val="Carlito"/>
    </x:font>
    <x:font>
      <x:b/>
      <x:sz val="1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846"/>
      </x:patternFill>
    </x:fill>
    <x:fill>
      <x:patternFill patternType="solid">
        <x:fgColor rgb="FF287D8D"/>
      </x:patternFill>
    </x:fill>
    <x:fill>
      <x:patternFill patternType="solid">
        <x:fgColor rgb="FFFFF0D6"/>
      </x:patternFill>
    </x:fill>
    <x:fill>
      <x:patternFill patternType="solid">
        <x:fgColor rgb="FFFFF2D5"/>
      </x:patternFill>
    </x:fill>
    <x:fill>
      <x:patternFill patternType="solid">
        <x:fgColor rgb="FFE4EFF0"/>
      </x:patternFill>
    </x:fill>
  </x:fills>
  <x:borders count="2">
    <x:border/>
    <x:border/>
  </x:borders>
  <x:cellStyleXfs count="1">
    <x:xf numFmtId="0" fontId="0" fillId="0" borderId="0"/>
  </x:cellStyleXfs>
  <x:cellXfs count="5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center" wrapText="1"/>
    </x:xf>
    <x:xf numFmtId="200" fontId="4" fillId="0" borderId="0" xfId="0" applyNumberFormat="1" applyFont="1" applyFill="1" applyBorder="1" applyAlignment="1">
      <x:alignment vertical="center" wrapText="1"/>
    </x:xf>
    <x:xf numFmtId="200" fontId="4" fillId="0" borderId="1" xfId="0" applyNumberFormat="1" applyFont="1" applyFill="1" applyBorder="1" applyAlignment="1">
      <x:alignment vertical="center" wrapText="1"/>
    </x:xf>
    <x:xf numFmtId="200" fontId="4" fillId="4" borderId="0" xfId="0" applyNumberFormat="1" applyFont="1" applyFill="1" applyBorder="1" applyAlignment="1">
      <x:alignment vertical="center" wrapText="1"/>
    </x:xf>
    <x:xf numFmtId="200" fontId="4" fillId="4" borderId="1" xfId="0" applyNumberFormat="1" applyFont="1" applyFill="1" applyBorder="1" applyAlignment="1">
      <x:alignment vertical="center" wrapText="1"/>
    </x:xf>
    <x:xf numFmtId="201" fontId="4" fillId="0" borderId="0" xfId="0" applyNumberFormat="1" applyFont="1" applyFill="1" applyBorder="1" applyAlignment="1">
      <x:alignment vertical="center" wrapText="1"/>
    </x:xf>
    <x:xf numFmtId="201" fontId="4" fillId="0" borderId="1" xfId="0" applyNumberFormat="1" applyFont="1" applyFill="1" applyBorder="1" applyAlignment="1">
      <x:alignment vertical="center" wrapText="1"/>
    </x:xf>
    <x:xf numFmtId="202" fontId="4" fillId="0" borderId="0" xfId="0" applyNumberFormat="1" applyFont="1" applyFill="1" applyBorder="1" applyAlignment="1">
      <x:alignment vertical="center" wrapText="1"/>
    </x:xf>
    <x:xf numFmtId="202" fontId="4" fillId="0" borderId="1" xfId="0" applyNumberFormat="1" applyFont="1" applyFill="1" applyBorder="1" applyAlignment="1">
      <x:alignment vertical="center" wrapText="1"/>
    </x:xf>
    <x:xf numFmtId="202" fontId="4" fillId="4" borderId="0" xfId="0" applyNumberFormat="1" applyFont="1" applyFill="1" applyBorder="1" applyAlignment="1">
      <x:alignment vertical="center" wrapText="1"/>
    </x:xf>
    <x:xf numFmtId="202" fontId="4" fillId="4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vertical="center" wrapText="1"/>
    </x:xf>
    <x:xf numFmtId="200" fontId="4" fillId="6" borderId="0" xfId="0" applyNumberFormat="1" applyFont="1" applyFill="1" applyBorder="1" applyAlignment="1">
      <x:alignment vertical="center" wrapText="1"/>
    </x:xf>
    <x:xf numFmtId="0" fontId="4" fillId="6" borderId="1" xfId="0" applyNumberFormat="1" applyFont="1" applyFill="1" applyBorder="1" applyAlignment="1">
      <x:alignment vertical="center" wrapText="1"/>
    </x:xf>
    <x:xf numFmtId="200" fontId="4" fillId="6" borderId="1" xfId="0" applyNumberFormat="1" applyFont="1" applyFill="1" applyBorder="1" applyAlignment="1">
      <x:alignment vertical="center" wrapText="1"/>
    </x:xf>
    <x:xf numFmtId="0" fontId="5" fillId="6" borderId="0" xfId="0" applyNumberFormat="1" applyFont="1" applyFill="1" applyBorder="1" applyAlignment="1">
      <x:alignment vertical="center" wrapText="1"/>
    </x:xf>
    <x:xf numFmtId="200" fontId="5" fillId="6" borderId="0" xfId="0" applyNumberFormat="1" applyFont="1" applyFill="1" applyBorder="1" applyAlignment="1">
      <x:alignment vertical="center" wrapText="1"/>
    </x:xf>
    <x:xf numFmtId="0" fontId="5" fillId="6" borderId="1" xfId="0" applyNumberFormat="1" applyFont="1" applyFill="1" applyBorder="1" applyAlignment="1">
      <x:alignment vertical="center" wrapText="1"/>
    </x:xf>
    <x:xf numFmtId="200" fontId="5" fillId="6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horizontal="left" vertical="center" wrapText="1"/>
    </x:xf>
    <x:xf numFmtId="0" fontId="4" fillId="0" borderId="1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d08b846a014874" /><Relationship Type="http://schemas.openxmlformats.org/officeDocument/2006/relationships/theme" Target="/xl/theme/theme1.xml" Id="Rf4336eb36eec42f3" /><Relationship Type="http://schemas.openxmlformats.org/officeDocument/2006/relationships/sharedStrings" Target="/xl/sharedStrings.xml" Id="Rac6d331827df4007" /><Relationship Type="http://schemas.openxmlformats.org/officeDocument/2006/relationships/worksheet" Target="/xl/worksheets/sheet1.xml" Id="R651d63b292d24bc7" /><Relationship Type="http://schemas.openxmlformats.org/officeDocument/2006/relationships/worksheet" Target="/xl/worksheets/sheet2.xml" Id="Rde43ac93de7744b1" /><Relationship Type="http://schemas.openxmlformats.org/officeDocument/2006/relationships/worksheet" Target="/xl/worksheets/sheet3.xml" Id="Ra2e0d11d62094937" /><Relationship Type="http://schemas.openxmlformats.org/officeDocument/2006/relationships/worksheet" Target="/xl/worksheets/sheet4.xml" Id="Rd25b9f14dd2348c0" /><Relationship Type="http://schemas.openxmlformats.org/officeDocument/2006/relationships/worksheet" Target="/xl/worksheets/sheet5.xml" Id="R73ce36f571ba497f" /><Relationship Type="http://schemas.openxmlformats.org/officeDocument/2006/relationships/worksheet" Target="/xl/worksheets/sheet6.xml" Id="Rfc0b6d0f181a4f68" /><Relationship Type="http://schemas.openxmlformats.org/officeDocument/2006/relationships/worksheet" Target="/xl/worksheets/sheet7.xml" Id="R36524a7f9f5545cf" /><Relationship Type="http://schemas.openxmlformats.org/officeDocument/2006/relationships/worksheet" Target="/xl/worksheets/sheet8.xml" Id="R9cf935f5b136431b" /></Relationships>
</file>

<file path=xl/tables/table1.xml><?xml version="1.0" encoding="utf-8"?>
<x:table xmlns:x="http://schemas.openxmlformats.org/spreadsheetml/2006/main" id="1" name="Tbl_00" displayName="Tbl_00" ref="A5:C17" headerRowCount="1" totalsRowCount="0" totalsRowShown="0">
  <x:tableColumns count="3">
    <x:tableColumn id="1" name="Раздел"/>
    <x:tableColumn id="2" name="Показатель"/>
    <x:tableColumn id="3" name="Пояснение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bl_01" displayName="Tbl_01" ref="A5:M53" headerRowCount="1" totalsRowCount="0" totalsRowShown="0">
  <x:tableColumns count="13">
    <x:tableColumn id="1" name="ID модели"/>
    <x:tableColumn id="2" name="Марка"/>
    <x:tableColumn id="3" name="Верх, м"/>
    <x:tableColumn id="4" name="План, лист"/>
    <x:tableColumn id="5" name="Деталь, лист"/>
    <x:tableColumn id="6" name="Б1, шт."/>
    <x:tableColumn id="7" name="Бетон по РД, м³"/>
    <x:tableColumn id="8" name="Профлист по РД, м²"/>
    <x:tableColumn id="9" name="Площадь геометрии без отверстий, м²"/>
    <x:tableColumn id="10" name="Объём геометрии, м³"/>
    <x:tableColumn id="11" name="Отверстия, контуры"/>
    <x:tableColumn id="12" name="Источник"/>
    <x:tableColumn id="13" name="Статус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bl_02" displayName="Tbl_02" ref="A5:J73" headerRowCount="1" totalsRowCount="0" totalsRowShown="0">
  <x:tableColumns count="10">
    <x:tableColumn id="1" name="ID сборки"/>
    <x:tableColumn id="2" name="МУ"/>
    <x:tableColumn id="3" name="Верх МУ, м"/>
    <x:tableColumn id="4" name="Сборок, шт."/>
    <x:tableColumn id="5" name="Длина, м"/>
    <x:tableColumn id="6" name="Швеллер27П, кг"/>
    <x:tableColumn id="7" name="Уголок100×8, кг"/>
    <x:tableColumn id="8" name="Основные профили, кг"/>
    <x:tableColumn id="9" name="Источник"/>
    <x:tableColumn id="10" name="Ограничение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bl_03" displayName="Tbl_03" ref="A5:J10" headerRowCount="1" totalsRowCount="0" totalsRowShown="0">
  <x:tableColumns count="10">
    <x:tableColumn id="1" name="Марка"/>
    <x:tableColumn id="2" name="Элемент"/>
    <x:tableColumn id="3" name="Размер1, м"/>
    <x:tableColumn id="4" name="Размер2, м"/>
    <x:tableColumn id="5" name="Толщина, м"/>
    <x:tableColumn id="6" name="Ведомость, м³"/>
    <x:tableColumn id="7" name="Геометрия, м³"/>
    <x:tableColumn id="8" name="Разница, м³"/>
    <x:tableColumn id="9" name="Источник"/>
    <x:tableColumn id="10" name="Открытый вопрос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bl_04" displayName="Tbl_04" ref="A5:L24" headerRowCount="1" totalsRowCount="0" totalsRowShown="0">
  <x:tableColumns count="12">
    <x:tableColumn id="1" name="ID модели"/>
    <x:tableColumn id="2" name="Вход №"/>
    <x:tableColumn id="3" name="X, м"/>
    <x:tableColumn id="4" name="Y, м"/>
    <x:tableColumn id="5" name="Верх, м"/>
    <x:tableColumn id="6" name="Низ, м"/>
    <x:tableColumn id="7" name="Диаметр, м"/>
    <x:tableColumn id="8" name="Длина, м"/>
    <x:tableColumn id="9" name="Бетон по РД, м³"/>
    <x:tableColumn id="10" name="Геометрия, м³"/>
    <x:tableColumn id="11" name="Разница, м³"/>
    <x:tableColumn id="12" name="Источник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bl_05" displayName="Tbl_05" ref="A5:E21" headerRowCount="1" totalsRowCount="0" totalsRowShown="0">
  <x:tableColumns count="5">
    <x:tableColumn id="1" name="ID"/>
    <x:tableColumn id="2" name="Тема"/>
    <x:tableColumn id="3" name="Что выявлено"/>
    <x:tableColumn id="4" name="Как отражено / что требуется"/>
    <x:tableColumn id="5" name="Статус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bl_06" displayName="Tbl_06" ref="A5:E14" headerRowCount="1" totalsRowCount="0" totalsRowShown="0">
  <x:tableColumns count="5">
    <x:tableColumn id="1" name="Источник"/>
    <x:tableColumn id="2" name="Статус"/>
    <x:tableColumn id="3" name="Листы / блок"/>
    <x:tableColumn id="4" name="Использование"/>
    <x:tableColumn id="5" name="Ограничение / ссылка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bl_07" displayName="Tbl_07" ref="A5:E9" headerRowCount="1" totalsRowCount="0" totalsRowShown="0">
  <x:tableColumns count="5">
    <x:tableColumn id="1" name="Уровень / часть"/>
    <x:tableColumn id="2" name="Отметка, м"/>
    <x:tableColumn id="3" name="МУ, шт."/>
    <x:tableColumn id="4" name="Б1, сборок"/>
    <x:tableColumn id="5" name="Бетон по РД, м³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aa624456f5d47c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db04265be7b4fc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2cbe2ddeb86460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41435f683e7846d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8e79d0c3dbc9486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061827e2b9584d9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54ea4739abea4f9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c374823068684a56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6" hidden="0" customWidth="1"/>
    <x:col min="3" max="3" width="85" hidden="0" customWidth="1"/>
  </x:cols>
  <x:sheetData>
    <x:row r="1" ht="32" customHeight="1">
      <x:c r="A1" s="4" t="str">
        <x:v>R05 / РЕЕСТР ДОПОЛНЕНИЙ К 3D-МОДЕЛИ</x:v>
      </x:c>
      <x:c r="B1" s="4"/>
      <x:c r="C1" s="4"/>
    </x:row>
    <x:row r="2" ht="22" customHeight="1">
      <x:c r="A2" s="10" t="str">
        <x:v>Данные чертежей отделены от геометрии. Жёлтые строки/ячейки — открытые вопросы, не согласованные решения.</x:v>
      </x:c>
      <x:c r="B2" s="10"/>
      <x:c r="C2" s="10"/>
    </x:row>
    <x:row r="3" ht="22" customHeight="1">
      <x:c r="A3" s="10"/>
      <x:c r="B3" s="10"/>
      <x:c r="C3" s="10"/>
    </x:row>
    <x:row r="5" ht="40" customHeight="1">
      <x:c r="A5" s="17" t="str">
        <x:v>Раздел</x:v>
      </x:c>
      <x:c r="B5" s="17" t="str">
        <x:v>Показатель</x:v>
      </x:c>
      <x:c r="C5" s="17" t="str">
        <x:v>Пояснение</x:v>
      </x:c>
    </x:row>
    <x:row r="6" ht="36" customHeight="1">
      <x:c r="A6" s="24" t="str">
        <x:v>Редакция</x:v>
      </x:c>
      <x:c r="B6" s="52" t="str">
        <x:v>R05</x:v>
      </x:c>
      <x:c r="C6" s="24" t="str">
        <x:v>Основание: сводная модель R04; исходная редакция сохранена.</x:v>
      </x:c>
    </x:row>
    <x:row r="7" ht="36" customHeight="1">
      <x:c r="A7" s="24" t="str">
        <x:v>Объект</x:v>
      </x:c>
      <x:c r="B7" s="52" t="str">
        <x:v>Здание 24 / ИЯИ / Троицк</x:v>
      </x:c>
      <x:c r="C7" s="24" t="str">
        <x:v>г. Москва, г. Троицк, ул. Физическая, 27</x:v>
      </x:c>
    </x:row>
    <x:row r="8" ht="36" customHeight="1">
      <x:c r="A8" s="24" t="str">
        <x:v>Статус</x:v>
      </x:c>
      <x:c r="B8" s="52" t="str">
        <x:v>Координационная модель по РД</x:v>
      </x:c>
      <x:c r="C8" s="24" t="str">
        <x:v>Не исполнительная съёмка, не расчёт несущей способности и не КМД.</x:v>
      </x:c>
    </x:row>
    <x:row r="9" ht="36" customHeight="1">
      <x:c r="A9" s="24" t="str">
        <x:v>Межэтажные МУ</x:v>
      </x:c>
      <x:c r="B9" s="52" t="n">
        <x:v>48</x:v>
      </x:c>
      <x:c r="C9" s="24" t="str">
        <x:v>22 на +3,500; МУ23 на +4,700; 25 на +7,100.</x:v>
      </x:c>
    </x:row>
    <x:row r="10" ht="36" customHeight="1">
      <x:c r="A10" s="24" t="str">
        <x:v>Балки Б1</x:v>
      </x:c>
      <x:c r="B10" s="52" t="n">
        <x:v>68</x:v>
      </x:c>
      <x:c r="C10" s="24" t="str">
        <x:v>Сборка Б1 = швеллер27П + уголок100×8; не считать её дважды.</x:v>
      </x:c>
    </x:row>
    <x:row r="11" ht="36" customHeight="1">
      <x:c r="A11" s="24" t="str">
        <x:v>Входные группы</x:v>
      </x:c>
      <x:c r="B11" s="52" t="n">
        <x:v>8</x:v>
      </x:c>
      <x:c r="C11" s="24" t="str">
        <x:v>Вход №1 — спуск на −0,620; вход №7 расположен в зоне галереи.</x:v>
      </x:c>
    </x:row>
    <x:row r="12" ht="36" customHeight="1">
      <x:c r="A12" s="24" t="str">
        <x:v>Сваи Св-1</x:v>
      </x:c>
      <x:c r="B12" s="52" t="n">
        <x:v>19</x:v>
      </x:c>
      <x:c r="C12" s="24" t="str">
        <x:v>Входы 1/2/3/6/8: 4/3/4/4/4 шт.; Ø300 × 3000 по л.139.</x:v>
      </x:c>
    </x:row>
    <x:row r="13" ht="36" customHeight="1">
      <x:c r="A13" s="24" t="str">
        <x:v>Фп-2</x:v>
      </x:c>
      <x:c r="B13" s="52" t="str">
        <x:v>Добавлена</x:v>
      </x:c>
      <x:c r="C13" s="24" t="str">
        <x:v>Габариты2500×2900×300. Армирование схемы и ведомости расходится.</x:v>
      </x:c>
    </x:row>
    <x:row r="14" ht="36" customHeight="1">
      <x:c r="A14" s="24" t="str">
        <x:v>Сохранено из R04</x:v>
      </x:c>
      <x:c r="B14" s="52" t="str">
        <x:v>Здание / кровля / Л-1</x:v>
      </x:c>
      <x:c r="C14" s="24" t="str">
        <x:v>Из оболочек изменены только FLOOR2, FLOOR3 и GALLERY_CEILING; остальные элементы R04 сохранены.</x:v>
      </x:c>
    </x:row>
    <x:row r="15" ht="36" customHeight="1">
      <x:c r="A15" s="24" t="str">
        <x:v>Не суммировать</x:v>
      </x:c>
      <x:c r="B15" s="52" t="str">
        <x:v>Геометрию и ведомость РД</x:v>
      </x:c>
      <x:c r="C15" s="24" t="str">
        <x:v>Геометрический объём не является дополнительным расходом к спецификации.</x:v>
      </x:c>
    </x:row>
    <x:row r="16" ht="36" customHeight="1">
      <x:c r="A16" s="24" t="str">
        <x:v>Демонтаж</x:v>
      </x:c>
      <x:c r="B16" s="52" t="str">
        <x:v>Общий по листам4/5</x:v>
      </x:c>
      <x:c r="C16" s="24" t="str">
        <x:v>Уже включает зоны лестниц/МУ. Не добавлять повторно к ВОР Л-1.</x:v>
      </x:c>
    </x:row>
    <x:row r="17" ht="36" customHeight="1">
      <x:c r="A17" s="24" t="str">
        <x:v>Полнота</x:v>
      </x:c>
      <x:c r="B17" s="52" t="str">
        <x:v>Реестр, а не полная смета</x:v>
      </x:c>
      <x:c r="C17" s="24" t="str">
        <x:v>Отдельные узлы, арматура, огнезащита и отверстия вне МУ требуют дальнейшей детализации.</x:v>
      </x:c>
    </x:row>
  </x:sheetData>
  <x:mergeCells>
    <x:mergeCell ref="A1:C1"/>
    <x:mergeCell ref="A2:C3"/>
  </x:mergeCells>
  <x:pageMargins left="0.7" right="0.7" top="0.75" bottom="0.75" header="0.3" footer="0.3"/>
  <x:tableParts count="1">
    <x:tablePart xmlns:r="http://schemas.openxmlformats.org/officeDocument/2006/relationships" r:id="R9aa624456f5d47c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2" hidden="0" customWidth="1"/>
    <x:col min="3" max="3" width="12" hidden="0" customWidth="1"/>
    <x:col min="4" max="4" width="12" hidden="0" customWidth="1"/>
    <x:col min="5" max="5" width="14" hidden="0" customWidth="1"/>
    <x:col min="6" max="6" width="12" hidden="0" customWidth="1"/>
    <x:col min="7" max="7" width="17" hidden="0" customWidth="1"/>
    <x:col min="8" max="8" width="17" hidden="0" customWidth="1"/>
    <x:col min="9" max="9" width="21" hidden="0" customWidth="1"/>
    <x:col min="10" max="10" width="20" hidden="0" customWidth="1"/>
    <x:col min="11" max="11" width="15" hidden="0" customWidth="1"/>
    <x:col min="12" max="12" width="48" hidden="0" customWidth="1"/>
    <x:col min="13" max="13" width="48" hidden="0" customWidth="1"/>
  </x:cols>
  <x:sheetData>
    <x:row r="1" ht="32" customHeight="1">
      <x:c r="A1" s="4" t="str">
        <x:v>МОНОЛИТНЫЕ УЧАСТКИ / 48 ЭКЗЕМПЛЯРОВ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2" ht="22" customHeight="1">
      <x:c r="A2" s="10" t="str">
        <x:v>Л.20 — 23 участка, включая МУ23 на +4,700. Л.21 — 25 участков. МУ лестницы Л-1 имеют другую нумерацию и здесь повторно не учитываются.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</x:row>
    <x:row r="3" ht="22" customHeight="1">
      <x:c r="A3" s="10"/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  <x:c r="M3" s="10"/>
    </x:row>
    <x:row r="5" ht="40" customHeight="1">
      <x:c r="A5" s="17" t="str">
        <x:v>ID модели</x:v>
      </x:c>
      <x:c r="B5" s="17" t="str">
        <x:v>Марка</x:v>
      </x:c>
      <x:c r="C5" s="17" t="str">
        <x:v>Верх, м</x:v>
      </x:c>
      <x:c r="D5" s="17" t="str">
        <x:v>План, лист</x:v>
      </x:c>
      <x:c r="E5" s="17" t="str">
        <x:v>Деталь, лист</x:v>
      </x:c>
      <x:c r="F5" s="17" t="str">
        <x:v>Б1, шт.</x:v>
      </x:c>
      <x:c r="G5" s="17" t="str">
        <x:v>Бетон по РД, м³</x:v>
      </x:c>
      <x:c r="H5" s="17" t="str">
        <x:v>Профлист по РД, м²</x:v>
      </x:c>
      <x:c r="I5" s="17" t="str">
        <x:v>Площадь геометрии без отверстий, м²</x:v>
      </x:c>
      <x:c r="J5" s="17" t="str">
        <x:v>Объём геометрии, м³</x:v>
      </x:c>
      <x:c r="K5" s="17" t="str">
        <x:v>Отверстия, контуры</x:v>
      </x:c>
      <x:c r="L5" s="17" t="str">
        <x:v>Источник</x:v>
      </x:c>
      <x:c r="M5" s="17" t="str">
        <x:v>Статус</x:v>
      </x:c>
    </x:row>
    <x:row r="6" ht="36" customHeight="1">
      <x:c r="A6" s="24" t="str">
        <x:v>F2_MU1</x:v>
      </x:c>
      <x:c r="B6" s="24" t="str">
        <x:v>МУ1</x:v>
      </x:c>
      <x:c r="C6" s="28" t="n">
        <x:v>3.5</x:v>
      </x:c>
      <x:c r="D6" s="24" t="n">
        <x:v>20</x:v>
      </x:c>
      <x:c r="E6" s="24" t="n">
        <x:v>23</x:v>
      </x:c>
      <x:c r="F6" s="24" t="n">
        <x:v>0</x:v>
      </x:c>
      <x:c r="G6" s="28" t="n">
        <x:v>0.32</x:v>
      </x:c>
      <x:c r="H6" s="28"/>
      <x:c r="I6" s="28" t="n">
        <x:v>1.4697</x:v>
      </x:c>
      <x:c r="J6" s="30" t="n">
        <x:v>0.323336</x:v>
      </x:c>
      <x:c r="K6" s="24" t="n">
        <x:v>0</x:v>
      </x:c>
      <x:c r="L6" s="24" t="str">
        <x:v>01-2024/ИЯИ-АС.2 «изм от03.07.26», л.20; 23 по штампу</x:v>
      </x:c>
      <x:c r="M6" s="24" t="str">
        <x:v>Координационная геометрия; размеры*проверить</x:v>
      </x:c>
    </x:row>
    <x:row r="7" ht="36" customHeight="1">
      <x:c r="A7" s="24" t="str">
        <x:v>F2_MU2</x:v>
      </x:c>
      <x:c r="B7" s="24" t="str">
        <x:v>МУ2</x:v>
      </x:c>
      <x:c r="C7" s="28" t="n">
        <x:v>3.5</x:v>
      </x:c>
      <x:c r="D7" s="24" t="n">
        <x:v>20</x:v>
      </x:c>
      <x:c r="E7" s="24" t="n">
        <x:v>23</x:v>
      </x:c>
      <x:c r="F7" s="24" t="n">
        <x:v>0</x:v>
      </x:c>
      <x:c r="G7" s="28" t="n">
        <x:v>0.51</x:v>
      </x:c>
      <x:c r="H7" s="28"/>
      <x:c r="I7" s="28" t="n">
        <x:v>2.2881</x:v>
      </x:c>
      <x:c r="J7" s="30" t="n">
        <x:v>0.503375</x:v>
      </x:c>
      <x:c r="K7" s="24" t="n">
        <x:v>0</x:v>
      </x:c>
      <x:c r="L7" s="24" t="str">
        <x:v>01-2024/ИЯИ-АС.2 «изм от03.07.26», л.20; 23 по штампу</x:v>
      </x:c>
      <x:c r="M7" s="24" t="str">
        <x:v>Координационная геометрия; размеры*проверить</x:v>
      </x:c>
    </x:row>
    <x:row r="8" ht="36" customHeight="1">
      <x:c r="A8" s="24" t="str">
        <x:v>F2_MU3</x:v>
      </x:c>
      <x:c r="B8" s="24" t="str">
        <x:v>МУ3</x:v>
      </x:c>
      <x:c r="C8" s="28" t="n">
        <x:v>3.5</x:v>
      </x:c>
      <x:c r="D8" s="24" t="n">
        <x:v>20</x:v>
      </x:c>
      <x:c r="E8" s="24" t="n">
        <x:v>23</x:v>
      </x:c>
      <x:c r="F8" s="24" t="n">
        <x:v>0</x:v>
      </x:c>
      <x:c r="G8" s="28" t="n">
        <x:v>1.03</x:v>
      </x:c>
      <x:c r="H8" s="28"/>
      <x:c r="I8" s="28" t="n">
        <x:v>4.7136</x:v>
      </x:c>
      <x:c r="J8" s="30" t="n">
        <x:v>1.036999</x:v>
      </x:c>
      <x:c r="K8" s="24" t="n">
        <x:v>0</x:v>
      </x:c>
      <x:c r="L8" s="24" t="str">
        <x:v>01-2024/ИЯИ-АС.2 «изм от03.07.26», л.20; 23 по штампу</x:v>
      </x:c>
      <x:c r="M8" s="24" t="str">
        <x:v>Координационная геометрия; размеры*проверить</x:v>
      </x:c>
    </x:row>
    <x:row r="9" ht="36" customHeight="1">
      <x:c r="A9" s="24" t="str">
        <x:v>F2_MU4</x:v>
      </x:c>
      <x:c r="B9" s="24" t="str">
        <x:v>МУ4</x:v>
      </x:c>
      <x:c r="C9" s="28" t="n">
        <x:v>3.5</x:v>
      </x:c>
      <x:c r="D9" s="24" t="n">
        <x:v>20</x:v>
      </x:c>
      <x:c r="E9" s="24" t="n">
        <x:v>24</x:v>
      </x:c>
      <x:c r="F9" s="24" t="n">
        <x:v>2</x:v>
      </x:c>
      <x:c r="G9" s="28" t="n">
        <x:v>1.1</x:v>
      </x:c>
      <x:c r="H9" s="28" t="n">
        <x:v>6.4</x:v>
      </x:c>
      <x:c r="I9" s="28" t="n">
        <x:v>5.7867</x:v>
      </x:c>
      <x:c r="J9" s="30" t="n">
        <x:v>1.04667</x:v>
      </x:c>
      <x:c r="K9" s="24" t="n">
        <x:v>1</x:v>
      </x:c>
      <x:c r="L9" s="24" t="str">
        <x:v>01-2024/ИЯИ-АС.2 «изм от03.07.26», л.20; 24 по штампу</x:v>
      </x:c>
      <x:c r="M9" s="24" t="str">
        <x:v>Координационная геометрия; размеры*проверить</x:v>
      </x:c>
    </x:row>
    <x:row r="10" ht="36" customHeight="1">
      <x:c r="A10" s="24" t="str">
        <x:v>F2_MU5</x:v>
      </x:c>
      <x:c r="B10" s="24" t="str">
        <x:v>МУ5</x:v>
      </x:c>
      <x:c r="C10" s="28" t="n">
        <x:v>3.5</x:v>
      </x:c>
      <x:c r="D10" s="24" t="n">
        <x:v>20</x:v>
      </x:c>
      <x:c r="E10" s="24" t="n">
        <x:v>24</x:v>
      </x:c>
      <x:c r="F10" s="24" t="n">
        <x:v>2</x:v>
      </x:c>
      <x:c r="G10" s="28" t="n">
        <x:v>1.75</x:v>
      </x:c>
      <x:c r="H10" s="28" t="n">
        <x:v>10.44</x:v>
      </x:c>
      <x:c r="I10" s="28" t="n">
        <x:v>8.9586</x:v>
      </x:c>
      <x:c r="J10" s="30" t="n">
        <x:v>1.619273</x:v>
      </x:c>
      <x:c r="K10" s="24" t="n">
        <x:v>5</x:v>
      </x:c>
      <x:c r="L10" s="24" t="str">
        <x:v>01-2024/ИЯИ-АС.2 «изм от03.07.26», л.20; 24 по штампу</x:v>
      </x:c>
      <x:c r="M10" s="24" t="str">
        <x:v>Координационная геометрия; размеры*проверить</x:v>
      </x:c>
    </x:row>
    <x:row r="11" ht="36" customHeight="1">
      <x:c r="A11" s="24" t="str">
        <x:v>F2_MU6</x:v>
      </x:c>
      <x:c r="B11" s="24" t="str">
        <x:v>МУ6</x:v>
      </x:c>
      <x:c r="C11" s="28" t="n">
        <x:v>3.5</x:v>
      </x:c>
      <x:c r="D11" s="24" t="n">
        <x:v>20</x:v>
      </x:c>
      <x:c r="E11" s="24" t="n">
        <x:v>25</x:v>
      </x:c>
      <x:c r="F11" s="24" t="n">
        <x:v>2</x:v>
      </x:c>
      <x:c r="G11" s="28" t="n">
        <x:v>2.01</x:v>
      </x:c>
      <x:c r="H11" s="28" t="n">
        <x:v>9.54</x:v>
      </x:c>
      <x:c r="I11" s="28" t="n">
        <x:v>9.533</x:v>
      </x:c>
      <x:c r="J11" s="30" t="n">
        <x:v>1.724527</x:v>
      </x:c>
      <x:c r="K11" s="24" t="n">
        <x:v>1</x:v>
      </x:c>
      <x:c r="L11" s="24" t="str">
        <x:v>01-2024/ИЯИ-АС.2 «изм от03.07.26», л.20; 25 по штампу</x:v>
      </x:c>
      <x:c r="M11" s="24" t="str">
        <x:v>Координационная геометрия; размеры*проверить</x:v>
      </x:c>
    </x:row>
    <x:row r="12" ht="36" customHeight="1">
      <x:c r="A12" s="24" t="str">
        <x:v>F2_MU7</x:v>
      </x:c>
      <x:c r="B12" s="24" t="str">
        <x:v>МУ7</x:v>
      </x:c>
      <x:c r="C12" s="28" t="n">
        <x:v>3.5</x:v>
      </x:c>
      <x:c r="D12" s="24" t="n">
        <x:v>20</x:v>
      </x:c>
      <x:c r="E12" s="24" t="n">
        <x:v>25</x:v>
      </x:c>
      <x:c r="F12" s="24" t="n">
        <x:v>2</x:v>
      </x:c>
      <x:c r="G12" s="28" t="n">
        <x:v>2.14</x:v>
      </x:c>
      <x:c r="H12" s="28" t="n">
        <x:v>10.16</x:v>
      </x:c>
      <x:c r="I12" s="28" t="n">
        <x:v>10.1455</x:v>
      </x:c>
      <x:c r="J12" s="30" t="n">
        <x:v>1.835757</x:v>
      </x:c>
      <x:c r="K12" s="24" t="n">
        <x:v>2</x:v>
      </x:c>
      <x:c r="L12" s="24" t="str">
        <x:v>01-2024/ИЯИ-АС.2 «изм от03.07.26», л.20; 25 по штампу</x:v>
      </x:c>
      <x:c r="M12" s="24" t="str">
        <x:v>Координационная геометрия; размеры*проверить</x:v>
      </x:c>
    </x:row>
    <x:row r="13" ht="36" customHeight="1">
      <x:c r="A13" s="24" t="str">
        <x:v>F2_MU8</x:v>
      </x:c>
      <x:c r="B13" s="24" t="str">
        <x:v>МУ8</x:v>
      </x:c>
      <x:c r="C13" s="28" t="n">
        <x:v>3.5</x:v>
      </x:c>
      <x:c r="D13" s="24" t="n">
        <x:v>20</x:v>
      </x:c>
      <x:c r="E13" s="24" t="n">
        <x:v>26</x:v>
      </x:c>
      <x:c r="F13" s="24" t="n">
        <x:v>0</x:v>
      </x:c>
      <x:c r="G13" s="28" t="n">
        <x:v>0.31</x:v>
      </x:c>
      <x:c r="H13" s="28"/>
      <x:c r="I13" s="28" t="n">
        <x:v>1.3998</x:v>
      </x:c>
      <x:c r="J13" s="30" t="n">
        <x:v>0.307959</x:v>
      </x:c>
      <x:c r="K13" s="24" t="n">
        <x:v>0</x:v>
      </x:c>
      <x:c r="L13" s="24" t="str">
        <x:v>01-2024/ИЯИ-АС.2 «изм от03.07.26», л.20; 26 по штампу</x:v>
      </x:c>
      <x:c r="M13" s="24" t="str">
        <x:v>Координационная геометрия; размеры*проверить</x:v>
      </x:c>
    </x:row>
    <x:row r="14" ht="36" customHeight="1">
      <x:c r="A14" s="24" t="str">
        <x:v>F2_MU9</x:v>
      </x:c>
      <x:c r="B14" s="24" t="str">
        <x:v>МУ9</x:v>
      </x:c>
      <x:c r="C14" s="28" t="n">
        <x:v>3.5</x:v>
      </x:c>
      <x:c r="D14" s="24" t="n">
        <x:v>20</x:v>
      </x:c>
      <x:c r="E14" s="24" t="n">
        <x:v>26</x:v>
      </x:c>
      <x:c r="F14" s="24" t="n">
        <x:v>2</x:v>
      </x:c>
      <x:c r="G14" s="28" t="n">
        <x:v>1.75</x:v>
      </x:c>
      <x:c r="H14" s="28" t="n">
        <x:v>10.44</x:v>
      </x:c>
      <x:c r="I14" s="28" t="n">
        <x:v>10.4264</x:v>
      </x:c>
      <x:c r="J14" s="30" t="n">
        <x:v>1.886222</x:v>
      </x:c>
      <x:c r="K14" s="24" t="n">
        <x:v>1</x:v>
      </x:c>
      <x:c r="L14" s="24" t="str">
        <x:v>01-2024/ИЯИ-АС.2 «изм от03.07.26», л.20; 26 по штампу</x:v>
      </x:c>
      <x:c r="M14" s="24" t="str">
        <x:v>Координационная геометрия; размеры*проверить</x:v>
      </x:c>
    </x:row>
    <x:row r="15" ht="36" customHeight="1">
      <x:c r="A15" s="24" t="str">
        <x:v>F2_MU10</x:v>
      </x:c>
      <x:c r="B15" s="24" t="str">
        <x:v>МУ10</x:v>
      </x:c>
      <x:c r="C15" s="28" t="n">
        <x:v>3.5</x:v>
      </x:c>
      <x:c r="D15" s="24" t="n">
        <x:v>20</x:v>
      </x:c>
      <x:c r="E15" s="24" t="n">
        <x:v>26</x:v>
      </x:c>
      <x:c r="F15" s="24" t="n">
        <x:v>2</x:v>
      </x:c>
      <x:c r="G15" s="28" t="n">
        <x:v>1.75</x:v>
      </x:c>
      <x:c r="H15" s="28" t="n">
        <x:v>10.44</x:v>
      </x:c>
      <x:c r="I15" s="28" t="n">
        <x:v>10.4338</x:v>
      </x:c>
      <x:c r="J15" s="30" t="n">
        <x:v>1.887603</x:v>
      </x:c>
      <x:c r="K15" s="24" t="n">
        <x:v>0</x:v>
      </x:c>
      <x:c r="L15" s="24" t="str">
        <x:v>01-2024/ИЯИ-АС.2 «изм от03.07.26», л.20; 26 по штампу</x:v>
      </x:c>
      <x:c r="M15" s="24" t="str">
        <x:v>Координационная геометрия; размеры*проверить</x:v>
      </x:c>
    </x:row>
    <x:row r="16" ht="36" customHeight="1">
      <x:c r="A16" s="24" t="str">
        <x:v>F2_MU11</x:v>
      </x:c>
      <x:c r="B16" s="24" t="str">
        <x:v>МУ11</x:v>
      </x:c>
      <x:c r="C16" s="28" t="n">
        <x:v>3.5</x:v>
      </x:c>
      <x:c r="D16" s="24" t="n">
        <x:v>20</x:v>
      </x:c>
      <x:c r="E16" s="24" t="n">
        <x:v>27</x:v>
      </x:c>
      <x:c r="F16" s="24" t="n">
        <x:v>2</x:v>
      </x:c>
      <x:c r="G16" s="28" t="n">
        <x:v>1.1</x:v>
      </x:c>
      <x:c r="H16" s="28" t="n">
        <x:v>6.67</x:v>
      </x:c>
      <x:c r="I16" s="28" t="n">
        <x:v>5.969</x:v>
      </x:c>
      <x:c r="J16" s="30" t="n">
        <x:v>1.081079</x:v>
      </x:c>
      <x:c r="K16" s="24" t="n">
        <x:v>6</x:v>
      </x:c>
      <x:c r="L16" s="24" t="str">
        <x:v>01-2024/ИЯИ-АС.2 «изм от03.07.26», л.20; 27 по штампу</x:v>
      </x:c>
      <x:c r="M16" s="24" t="str">
        <x:v>Координационная геометрия; размеры*проверить</x:v>
      </x:c>
    </x:row>
    <x:row r="17" ht="36" customHeight="1">
      <x:c r="A17" s="24" t="str">
        <x:v>F2_MU12</x:v>
      </x:c>
      <x:c r="B17" s="24" t="str">
        <x:v>МУ12</x:v>
      </x:c>
      <x:c r="C17" s="28" t="n">
        <x:v>3.5</x:v>
      </x:c>
      <x:c r="D17" s="24" t="n">
        <x:v>20</x:v>
      </x:c>
      <x:c r="E17" s="24" t="n">
        <x:v>27</x:v>
      </x:c>
      <x:c r="F17" s="24" t="n">
        <x:v>2</x:v>
      </x:c>
      <x:c r="G17" s="28" t="n">
        <x:v>1.75</x:v>
      </x:c>
      <x:c r="H17" s="28" t="n">
        <x:v>9.37</x:v>
      </x:c>
      <x:c r="I17" s="28" t="n">
        <x:v>9.3388</x:v>
      </x:c>
      <x:c r="J17" s="30" t="n">
        <x:v>1.68977</x:v>
      </x:c>
      <x:c r="K17" s="24" t="n">
        <x:v>4</x:v>
      </x:c>
      <x:c r="L17" s="24" t="str">
        <x:v>01-2024/ИЯИ-АС.2 «изм от03.07.26», л.20; 27 по штампу</x:v>
      </x:c>
      <x:c r="M17" s="24" t="str">
        <x:v>Координационная геометрия; размеры*проверить</x:v>
      </x:c>
    </x:row>
    <x:row r="18" ht="36" customHeight="1">
      <x:c r="A18" s="24" t="str">
        <x:v>F2_MU13</x:v>
      </x:c>
      <x:c r="B18" s="24" t="str">
        <x:v>МУ13</x:v>
      </x:c>
      <x:c r="C18" s="28" t="n">
        <x:v>3.5</x:v>
      </x:c>
      <x:c r="D18" s="24" t="n">
        <x:v>20</x:v>
      </x:c>
      <x:c r="E18" s="24" t="n">
        <x:v>28</x:v>
      </x:c>
      <x:c r="F18" s="24" t="n">
        <x:v>2</x:v>
      </x:c>
      <x:c r="G18" s="28" t="n">
        <x:v>1.75</x:v>
      </x:c>
      <x:c r="H18" s="28" t="n">
        <x:v>10.44</x:v>
      </x:c>
      <x:c r="I18" s="28" t="n">
        <x:v>10.4016</x:v>
      </x:c>
      <x:c r="J18" s="30" t="n">
        <x:v>1.881907</x:v>
      </x:c>
      <x:c r="K18" s="24" t="n">
        <x:v>1</x:v>
      </x:c>
      <x:c r="L18" s="24" t="str">
        <x:v>01-2024/ИЯИ-АС.2 «изм от03.07.26», л.20; 28 по штампу</x:v>
      </x:c>
      <x:c r="M18" s="24" t="str">
        <x:v>Координационная геометрия; размеры*проверить</x:v>
      </x:c>
    </x:row>
    <x:row r="19" ht="36" customHeight="1">
      <x:c r="A19" s="24" t="str">
        <x:v>F2_MU14</x:v>
      </x:c>
      <x:c r="B19" s="24" t="str">
        <x:v>МУ14</x:v>
      </x:c>
      <x:c r="C19" s="28" t="n">
        <x:v>3.5</x:v>
      </x:c>
      <x:c r="D19" s="24" t="n">
        <x:v>20</x:v>
      </x:c>
      <x:c r="E19" s="24" t="n">
        <x:v>28</x:v>
      </x:c>
      <x:c r="F19" s="24" t="n">
        <x:v>2</x:v>
      </x:c>
      <x:c r="G19" s="28" t="n">
        <x:v>1.75</x:v>
      </x:c>
      <x:c r="H19" s="28" t="n">
        <x:v>10.44</x:v>
      </x:c>
      <x:c r="I19" s="28" t="n">
        <x:v>10.4092</x:v>
      </x:c>
      <x:c r="J19" s="30" t="n">
        <x:v>1.882986</x:v>
      </x:c>
      <x:c r="K19" s="24" t="n">
        <x:v>2</x:v>
      </x:c>
      <x:c r="L19" s="24" t="str">
        <x:v>01-2024/ИЯИ-АС.2 «изм от03.07.26», л.20; 28 по штампу</x:v>
      </x:c>
      <x:c r="M19" s="24" t="str">
        <x:v>Координационная геометрия; размеры*проверить</x:v>
      </x:c>
    </x:row>
    <x:row r="20" ht="36" customHeight="1">
      <x:c r="A20" s="24" t="str">
        <x:v>F2_MU15</x:v>
      </x:c>
      <x:c r="B20" s="24" t="str">
        <x:v>МУ15</x:v>
      </x:c>
      <x:c r="C20" s="28" t="n">
        <x:v>3.5</x:v>
      </x:c>
      <x:c r="D20" s="24" t="n">
        <x:v>20</x:v>
      </x:c>
      <x:c r="E20" s="24" t="n">
        <x:v>23</x:v>
      </x:c>
      <x:c r="F20" s="24" t="n">
        <x:v>0</x:v>
      </x:c>
      <x:c r="G20" s="28" t="n">
        <x:v>1.1</x:v>
      </x:c>
      <x:c r="H20" s="28"/>
      <x:c r="I20" s="28" t="n">
        <x:v>4.8209</x:v>
      </x:c>
      <x:c r="J20" s="30" t="n">
        <x:v>1.060593</x:v>
      </x:c>
      <x:c r="K20" s="24" t="n">
        <x:v>0</x:v>
      </x:c>
      <x:c r="L20" s="24" t="str">
        <x:v>01-2024/ИЯИ-АС.2 «изм от03.07.26», л.20; 23 по штампу</x:v>
      </x:c>
      <x:c r="M20" s="24" t="str">
        <x:v>Координационная геометрия; размеры*проверить</x:v>
      </x:c>
    </x:row>
    <x:row r="21" ht="36" customHeight="1">
      <x:c r="A21" s="24" t="str">
        <x:v>F2_MU16</x:v>
      </x:c>
      <x:c r="B21" s="24" t="str">
        <x:v>МУ16</x:v>
      </x:c>
      <x:c r="C21" s="28" t="n">
        <x:v>3.5</x:v>
      </x:c>
      <x:c r="D21" s="24" t="n">
        <x:v>20</x:v>
      </x:c>
      <x:c r="E21" s="24" t="n">
        <x:v>29</x:v>
      </x:c>
      <x:c r="F21" s="24" t="n">
        <x:v>2</x:v>
      </x:c>
      <x:c r="G21" s="28" t="n">
        <x:v>1.75</x:v>
      </x:c>
      <x:c r="H21" s="28" t="n">
        <x:v>10.34</x:v>
      </x:c>
      <x:c r="I21" s="28" t="n">
        <x:v>10.325</x:v>
      </x:c>
      <x:c r="J21" s="30" t="n">
        <x:v>1.868429</x:v>
      </x:c>
      <x:c r="K21" s="24" t="n">
        <x:v>2</x:v>
      </x:c>
      <x:c r="L21" s="24" t="str">
        <x:v>01-2024/ИЯИ-АС.2 «изм от03.07.26», л.20; 29 по штампу</x:v>
      </x:c>
      <x:c r="M21" s="24" t="str">
        <x:v>Координационная геометрия; размеры*проверить</x:v>
      </x:c>
    </x:row>
    <x:row r="22" ht="36" customHeight="1">
      <x:c r="A22" s="24" t="str">
        <x:v>F2_MU17</x:v>
      </x:c>
      <x:c r="B22" s="24" t="str">
        <x:v>МУ17</x:v>
      </x:c>
      <x:c r="C22" s="28" t="n">
        <x:v>3.5</x:v>
      </x:c>
      <x:c r="D22" s="24" t="n">
        <x:v>20</x:v>
      </x:c>
      <x:c r="E22" s="24" t="n">
        <x:v>29</x:v>
      </x:c>
      <x:c r="F22" s="24" t="n">
        <x:v>2</x:v>
      </x:c>
      <x:c r="G22" s="28" t="n">
        <x:v>1.75</x:v>
      </x:c>
      <x:c r="H22" s="28" t="n">
        <x:v>9.11</x:v>
      </x:c>
      <x:c r="I22" s="28" t="n">
        <x:v>9.0567</x:v>
      </x:c>
      <x:c r="J22" s="30" t="n">
        <x:v>1.638571</x:v>
      </x:c>
      <x:c r="K22" s="24" t="n">
        <x:v>4</x:v>
      </x:c>
      <x:c r="L22" s="24" t="str">
        <x:v>01-2024/ИЯИ-АС.2 «изм от03.07.26», л.20; 29 по штампу</x:v>
      </x:c>
      <x:c r="M22" s="24" t="str">
        <x:v>Координационная геометрия; размеры*проверить</x:v>
      </x:c>
    </x:row>
    <x:row r="23" ht="36" customHeight="1">
      <x:c r="A23" s="24" t="str">
        <x:v>F2_MU18</x:v>
      </x:c>
      <x:c r="B23" s="24" t="str">
        <x:v>МУ18</x:v>
      </x:c>
      <x:c r="C23" s="28" t="n">
        <x:v>3.5</x:v>
      </x:c>
      <x:c r="D23" s="24" t="n">
        <x:v>20</x:v>
      </x:c>
      <x:c r="E23" s="24" t="n">
        <x:v>28</x:v>
      </x:c>
      <x:c r="F23" s="24" t="n">
        <x:v>2</x:v>
      </x:c>
      <x:c r="G23" s="28" t="n">
        <x:v>1.75</x:v>
      </x:c>
      <x:c r="H23" s="28" t="n">
        <x:v>8.83</x:v>
      </x:c>
      <x:c r="I23" s="28" t="n">
        <x:v>8.8228</x:v>
      </x:c>
      <x:c r="J23" s="30" t="n">
        <x:v>1.595543</x:v>
      </x:c>
      <x:c r="K23" s="24" t="n">
        <x:v>2</x:v>
      </x:c>
      <x:c r="L23" s="24" t="str">
        <x:v>01-2024/ИЯИ-АС.2 «изм от03.07.26», л.20; 28 по штампу</x:v>
      </x:c>
      <x:c r="M23" s="24" t="str">
        <x:v>Координационная геометрия; размеры*проверить</x:v>
      </x:c>
    </x:row>
    <x:row r="24" ht="36" customHeight="1">
      <x:c r="A24" s="24" t="str">
        <x:v>F2_MU19</x:v>
      </x:c>
      <x:c r="B24" s="24" t="str">
        <x:v>МУ19</x:v>
      </x:c>
      <x:c r="C24" s="28" t="n">
        <x:v>3.5</x:v>
      </x:c>
      <x:c r="D24" s="24" t="n">
        <x:v>20</x:v>
      </x:c>
      <x:c r="E24" s="24" t="n">
        <x:v>30</x:v>
      </x:c>
      <x:c r="F24" s="24" t="n">
        <x:v>2</x:v>
      </x:c>
      <x:c r="G24" s="28" t="n">
        <x:v>1.75</x:v>
      </x:c>
      <x:c r="H24" s="28" t="n">
        <x:v>9.29</x:v>
      </x:c>
      <x:c r="I24" s="28" t="n">
        <x:v>9.2642</x:v>
      </x:c>
      <x:c r="J24" s="30" t="n">
        <x:v>1.677267</x:v>
      </x:c>
      <x:c r="K24" s="24" t="n">
        <x:v>5</x:v>
      </x:c>
      <x:c r="L24" s="24" t="str">
        <x:v>01-2024/ИЯИ-АС.2 «изм от03.07.26», л.20; 30 по штампу</x:v>
      </x:c>
      <x:c r="M24" s="24" t="str">
        <x:v>Координационная геометрия; размеры*проверить</x:v>
      </x:c>
    </x:row>
    <x:row r="25" ht="36" customHeight="1">
      <x:c r="A25" s="24" t="str">
        <x:v>F2_MU20</x:v>
      </x:c>
      <x:c r="B25" s="24" t="str">
        <x:v>МУ20</x:v>
      </x:c>
      <x:c r="C25" s="28" t="n">
        <x:v>3.5</x:v>
      </x:c>
      <x:c r="D25" s="24" t="n">
        <x:v>20</x:v>
      </x:c>
      <x:c r="E25" s="24" t="n">
        <x:v>30</x:v>
      </x:c>
      <x:c r="F25" s="24" t="n">
        <x:v>2</x:v>
      </x:c>
      <x:c r="G25" s="28" t="n">
        <x:v>1.75</x:v>
      </x:c>
      <x:c r="H25" s="28" t="n">
        <x:v>9.65</x:v>
      </x:c>
      <x:c r="I25" s="28" t="n">
        <x:v>9.6096</x:v>
      </x:c>
      <x:c r="J25" s="30" t="n">
        <x:v>1.739147</x:v>
      </x:c>
      <x:c r="K25" s="24" t="n">
        <x:v>4</x:v>
      </x:c>
      <x:c r="L25" s="24" t="str">
        <x:v>01-2024/ИЯИ-АС.2 «изм от03.07.26», л.20; 30 по штампу</x:v>
      </x:c>
      <x:c r="M25" s="24" t="str">
        <x:v>Координационная геометрия; размеры*проверить</x:v>
      </x:c>
    </x:row>
    <x:row r="26" ht="36" customHeight="1">
      <x:c r="A26" s="24" t="str">
        <x:v>F2_MU21</x:v>
      </x:c>
      <x:c r="B26" s="24" t="str">
        <x:v>МУ21</x:v>
      </x:c>
      <x:c r="C26" s="28" t="n">
        <x:v>3.5</x:v>
      </x:c>
      <x:c r="D26" s="24" t="n">
        <x:v>20</x:v>
      </x:c>
      <x:c r="E26" s="24" t="n">
        <x:v>31</x:v>
      </x:c>
      <x:c r="F26" s="24" t="n">
        <x:v>2</x:v>
      </x:c>
      <x:c r="G26" s="28" t="n">
        <x:v>1.75</x:v>
      </x:c>
      <x:c r="H26" s="28" t="n">
        <x:v>10.34</x:v>
      </x:c>
      <x:c r="I26" s="28" t="n">
        <x:v>10.311</x:v>
      </x:c>
      <x:c r="J26" s="30" t="n">
        <x:v>1.865767</x:v>
      </x:c>
      <x:c r="K26" s="24" t="n">
        <x:v>2</x:v>
      </x:c>
      <x:c r="L26" s="24" t="str">
        <x:v>01-2024/ИЯИ-АС.2 «изм от03.07.26», л.20; 31 по штампу</x:v>
      </x:c>
      <x:c r="M26" s="24" t="str">
        <x:v>Координационная геометрия; размеры*проверить</x:v>
      </x:c>
    </x:row>
    <x:row r="27" ht="36" customHeight="1">
      <x:c r="A27" s="24" t="str">
        <x:v>F2_MU22</x:v>
      </x:c>
      <x:c r="B27" s="24" t="str">
        <x:v>МУ22</x:v>
      </x:c>
      <x:c r="C27" s="28" t="n">
        <x:v>3.5</x:v>
      </x:c>
      <x:c r="D27" s="24" t="n">
        <x:v>20</x:v>
      </x:c>
      <x:c r="E27" s="24" t="n">
        <x:v>31</x:v>
      </x:c>
      <x:c r="F27" s="24" t="n">
        <x:v>0</x:v>
      </x:c>
      <x:c r="G27" s="28" t="n">
        <x:v>0.64</x:v>
      </x:c>
      <x:c r="H27" s="28"/>
      <x:c r="I27" s="28" t="n">
        <x:v>2.8155</x:v>
      </x:c>
      <x:c r="J27" s="30" t="n">
        <x:v>0.619403</x:v>
      </x:c>
      <x:c r="K27" s="24" t="n">
        <x:v>1</x:v>
      </x:c>
      <x:c r="L27" s="24" t="str">
        <x:v>01-2024/ИЯИ-АС.2 «изм от03.07.26», л.20; 31 по штампу</x:v>
      </x:c>
      <x:c r="M27" s="24" t="str">
        <x:v>Координационная геометрия; размеры*проверить</x:v>
      </x:c>
    </x:row>
    <x:row r="28" ht="36" customHeight="1">
      <x:c r="A28" s="24" t="str">
        <x:v>F2_MU23</x:v>
      </x:c>
      <x:c r="B28" s="24" t="str">
        <x:v>МУ23</x:v>
      </x:c>
      <x:c r="C28" s="28" t="n">
        <x:v>4.7</x:v>
      </x:c>
      <x:c r="D28" s="24" t="n">
        <x:v>20</x:v>
      </x:c>
      <x:c r="E28" s="24" t="n">
        <x:v>32</x:v>
      </x:c>
      <x:c r="F28" s="24" t="n">
        <x:v>2</x:v>
      </x:c>
      <x:c r="G28" s="28" t="n">
        <x:v>1.75</x:v>
      </x:c>
      <x:c r="H28" s="28" t="n">
        <x:v>10</x:v>
      </x:c>
      <x:c r="I28" s="28" t="n">
        <x:v>9.9935</x:v>
      </x:c>
      <x:c r="J28" s="30" t="n">
        <x:v>1.807557</x:v>
      </x:c>
      <x:c r="K28" s="24" t="n">
        <x:v>1</x:v>
      </x:c>
      <x:c r="L28" s="24" t="str">
        <x:v>01-2024/ИЯИ-АС.2 «изм от03.07.26», л.20; 32 по штампу</x:v>
      </x:c>
      <x:c r="M28" s="24" t="str">
        <x:v>Координационная геометрия; размеры*проверить</x:v>
      </x:c>
    </x:row>
    <x:row r="29" ht="36" customHeight="1">
      <x:c r="A29" s="24" t="str">
        <x:v>F3_MU1</x:v>
      </x:c>
      <x:c r="B29" s="24" t="str">
        <x:v>МУ1</x:v>
      </x:c>
      <x:c r="C29" s="28" t="n">
        <x:v>7.1</x:v>
      </x:c>
      <x:c r="D29" s="24" t="n">
        <x:v>21</x:v>
      </x:c>
      <x:c r="E29" s="24" t="n">
        <x:v>23</x:v>
      </x:c>
      <x:c r="F29" s="24" t="n">
        <x:v>0</x:v>
      </x:c>
      <x:c r="G29" s="28" t="n">
        <x:v>0.32</x:v>
      </x:c>
      <x:c r="H29" s="28"/>
      <x:c r="I29" s="28" t="n">
        <x:v>1.476</x:v>
      </x:c>
      <x:c r="J29" s="30" t="n">
        <x:v>0.324723</x:v>
      </x:c>
      <x:c r="K29" s="24" t="n">
        <x:v>0</x:v>
      </x:c>
      <x:c r="L29" s="24" t="str">
        <x:v>01-2024/ИЯИ-АС.2 «изм от03.07.26», л.21; 23 по штампу</x:v>
      </x:c>
      <x:c r="M29" s="24" t="str">
        <x:v>Координационная геометрия; размеры*проверить</x:v>
      </x:c>
    </x:row>
    <x:row r="30" ht="36" customHeight="1">
      <x:c r="A30" s="24" t="str">
        <x:v>F3_MU2</x:v>
      </x:c>
      <x:c r="B30" s="24" t="str">
        <x:v>МУ2</x:v>
      </x:c>
      <x:c r="C30" s="28" t="n">
        <x:v>7.1</x:v>
      </x:c>
      <x:c r="D30" s="24" t="n">
        <x:v>21</x:v>
      </x:c>
      <x:c r="E30" s="24" t="n">
        <x:v>23</x:v>
      </x:c>
      <x:c r="F30" s="24" t="n">
        <x:v>0</x:v>
      </x:c>
      <x:c r="G30" s="28" t="n">
        <x:v>0.51</x:v>
      </x:c>
      <x:c r="H30" s="28"/>
      <x:c r="I30" s="28" t="n">
        <x:v>2.2979</x:v>
      </x:c>
      <x:c r="J30" s="30" t="n">
        <x:v>0.505535</x:v>
      </x:c>
      <x:c r="K30" s="24" t="n">
        <x:v>0</x:v>
      </x:c>
      <x:c r="L30" s="24" t="str">
        <x:v>01-2024/ИЯИ-АС.2 «изм от03.07.26», л.21; 23 по штампу</x:v>
      </x:c>
      <x:c r="M30" s="24" t="str">
        <x:v>Координационная геометрия; размеры*проверить</x:v>
      </x:c>
    </x:row>
    <x:row r="31" ht="36" customHeight="1">
      <x:c r="A31" s="24" t="str">
        <x:v>F3_MU3</x:v>
      </x:c>
      <x:c r="B31" s="24" t="str">
        <x:v>МУ3</x:v>
      </x:c>
      <x:c r="C31" s="28" t="n">
        <x:v>7.1</x:v>
      </x:c>
      <x:c r="D31" s="24" t="n">
        <x:v>21</x:v>
      </x:c>
      <x:c r="E31" s="24" t="n">
        <x:v>23</x:v>
      </x:c>
      <x:c r="F31" s="24" t="n">
        <x:v>0</x:v>
      </x:c>
      <x:c r="G31" s="28" t="n">
        <x:v>1.03</x:v>
      </x:c>
      <x:c r="H31" s="28"/>
      <x:c r="I31" s="28" t="n">
        <x:v>4.6891</x:v>
      </x:c>
      <x:c r="J31" s="30" t="n">
        <x:v>1.031598</x:v>
      </x:c>
      <x:c r="K31" s="24" t="n">
        <x:v>0</x:v>
      </x:c>
      <x:c r="L31" s="24" t="str">
        <x:v>01-2024/ИЯИ-АС.2 «изм от03.07.26», л.21; 23 по штампу</x:v>
      </x:c>
      <x:c r="M31" s="24" t="str">
        <x:v>Координационная геометрия; размеры*проверить</x:v>
      </x:c>
    </x:row>
    <x:row r="32" ht="36" customHeight="1">
      <x:c r="A32" s="24" t="str">
        <x:v>F3_MU4</x:v>
      </x:c>
      <x:c r="B32" s="24" t="str">
        <x:v>МУ4</x:v>
      </x:c>
      <x:c r="C32" s="28" t="n">
        <x:v>7.1</x:v>
      </x:c>
      <x:c r="D32" s="24" t="n">
        <x:v>21</x:v>
      </x:c>
      <x:c r="E32" s="24" t="n">
        <x:v>24</x:v>
      </x:c>
      <x:c r="F32" s="24" t="n">
        <x:v>2</x:v>
      </x:c>
      <x:c r="G32" s="28" t="n">
        <x:v>1.1</x:v>
      </x:c>
      <x:c r="H32" s="28" t="n">
        <x:v>6.4</x:v>
      </x:c>
      <x:c r="I32" s="28" t="n">
        <x:v>5.7579</x:v>
      </x:c>
      <x:c r="J32" s="30" t="n">
        <x:v>1.041462</x:v>
      </x:c>
      <x:c r="K32" s="24" t="n">
        <x:v>1</x:v>
      </x:c>
      <x:c r="L32" s="24" t="str">
        <x:v>01-2024/ИЯИ-АС.2 «изм от03.07.26», л.21; 24 по штампу</x:v>
      </x:c>
      <x:c r="M32" s="24" t="str">
        <x:v>Координационная геометрия; размеры*проверить</x:v>
      </x:c>
    </x:row>
    <x:row r="33" ht="36" customHeight="1">
      <x:c r="A33" s="24" t="str">
        <x:v>F3_MU24</x:v>
      </x:c>
      <x:c r="B33" s="24" t="str">
        <x:v>МУ24</x:v>
      </x:c>
      <x:c r="C33" s="28" t="n">
        <x:v>7.1</x:v>
      </x:c>
      <x:c r="D33" s="24" t="n">
        <x:v>21</x:v>
      </x:c>
      <x:c r="E33" s="24" t="n">
        <x:v>32</x:v>
      </x:c>
      <x:c r="F33" s="24" t="n">
        <x:v>2</x:v>
      </x:c>
      <x:c r="G33" s="28" t="n">
        <x:v>1.75</x:v>
      </x:c>
      <x:c r="H33" s="28" t="n">
        <x:v>9</x:v>
      </x:c>
      <x:c r="I33" s="28" t="n">
        <x:v>8.991</x:v>
      </x:c>
      <x:c r="J33" s="30" t="n">
        <x:v>1.624396</x:v>
      </x:c>
      <x:c r="K33" s="24" t="n">
        <x:v>1</x:v>
      </x:c>
      <x:c r="L33" s="24" t="str">
        <x:v>01-2024/ИЯИ-АС.2 «изм от03.07.26», л.21; 32 по штампу</x:v>
      </x:c>
      <x:c r="M33" s="24" t="str">
        <x:v>Координационная геометрия; размеры*проверить</x:v>
      </x:c>
    </x:row>
    <x:row r="34" ht="36" customHeight="1">
      <x:c r="A34" s="24" t="str">
        <x:v>F3_MU25</x:v>
      </x:c>
      <x:c r="B34" s="24" t="str">
        <x:v>МУ25</x:v>
      </x:c>
      <x:c r="C34" s="28" t="n">
        <x:v>7.1</x:v>
      </x:c>
      <x:c r="D34" s="24" t="n">
        <x:v>21</x:v>
      </x:c>
      <x:c r="E34" s="24" t="n">
        <x:v>33</x:v>
      </x:c>
      <x:c r="F34" s="24" t="n">
        <x:v>2</x:v>
      </x:c>
      <x:c r="G34" s="28" t="n">
        <x:v>1.75</x:v>
      </x:c>
      <x:c r="H34" s="28" t="n">
        <x:v>8.92</x:v>
      </x:c>
      <x:c r="I34" s="28" t="n">
        <x:v>8.8957</x:v>
      </x:c>
      <x:c r="J34" s="30" t="n">
        <x:v>1.607877</x:v>
      </x:c>
      <x:c r="K34" s="24" t="n">
        <x:v>5</x:v>
      </x:c>
      <x:c r="L34" s="24" t="str">
        <x:v>01-2024/ИЯИ-АС.2 «изм от03.07.26», л.21; 33 по штампу</x:v>
      </x:c>
      <x:c r="M34" s="24" t="str">
        <x:v>Координационная геометрия; размеры*проверить</x:v>
      </x:c>
    </x:row>
    <x:row r="35" ht="36" customHeight="1">
      <x:c r="A35" s="24" t="str">
        <x:v>F3_MU6</x:v>
      </x:c>
      <x:c r="B35" s="24" t="str">
        <x:v>МУ6</x:v>
      </x:c>
      <x:c r="C35" s="28" t="n">
        <x:v>7.1</x:v>
      </x:c>
      <x:c r="D35" s="24" t="n">
        <x:v>21</x:v>
      </x:c>
      <x:c r="E35" s="24" t="n">
        <x:v>25</x:v>
      </x:c>
      <x:c r="F35" s="24" t="n">
        <x:v>2</x:v>
      </x:c>
      <x:c r="G35" s="28" t="n">
        <x:v>2.01</x:v>
      </x:c>
      <x:c r="H35" s="28" t="n">
        <x:v>9.54</x:v>
      </x:c>
      <x:c r="I35" s="28" t="n">
        <x:v>9.4769</x:v>
      </x:c>
      <x:c r="J35" s="30" t="n">
        <x:v>1.714131</x:v>
      </x:c>
      <x:c r="K35" s="24" t="n">
        <x:v>2</x:v>
      </x:c>
      <x:c r="L35" s="24" t="str">
        <x:v>01-2024/ИЯИ-АС.2 «изм от03.07.26», л.21; 25 по штампу</x:v>
      </x:c>
      <x:c r="M35" s="24" t="str">
        <x:v>Координационная геометрия; размеры*проверить</x:v>
      </x:c>
    </x:row>
    <x:row r="36" ht="36" customHeight="1">
      <x:c r="A36" s="24" t="str">
        <x:v>F3_MU7</x:v>
      </x:c>
      <x:c r="B36" s="24" t="str">
        <x:v>МУ7</x:v>
      </x:c>
      <x:c r="C36" s="28" t="n">
        <x:v>7.1</x:v>
      </x:c>
      <x:c r="D36" s="24" t="n">
        <x:v>21</x:v>
      </x:c>
      <x:c r="E36" s="24" t="n">
        <x:v>25</x:v>
      </x:c>
      <x:c r="F36" s="24" t="n">
        <x:v>2</x:v>
      </x:c>
      <x:c r="G36" s="28" t="n">
        <x:v>2.14</x:v>
      </x:c>
      <x:c r="H36" s="28" t="n">
        <x:v>10.16</x:v>
      </x:c>
      <x:c r="I36" s="28" t="n">
        <x:v>10.1529</x:v>
      </x:c>
      <x:c r="J36" s="30" t="n">
        <x:v>1.83735</x:v>
      </x:c>
      <x:c r="K36" s="24" t="n">
        <x:v>1</x:v>
      </x:c>
      <x:c r="L36" s="24" t="str">
        <x:v>01-2024/ИЯИ-АС.2 «изм от03.07.26», л.21; 25 по штампу</x:v>
      </x:c>
      <x:c r="M36" s="24" t="str">
        <x:v>Координационная геометрия; размеры*проверить</x:v>
      </x:c>
    </x:row>
    <x:row r="37" ht="36" customHeight="1">
      <x:c r="A37" s="24" t="str">
        <x:v>F3_MU26</x:v>
      </x:c>
      <x:c r="B37" s="24" t="str">
        <x:v>МУ26</x:v>
      </x:c>
      <x:c r="C37" s="28" t="n">
        <x:v>7.1</x:v>
      </x:c>
      <x:c r="D37" s="24" t="n">
        <x:v>21</x:v>
      </x:c>
      <x:c r="E37" s="24" t="n">
        <x:v>26</x:v>
      </x:c>
      <x:c r="F37" s="24" t="n">
        <x:v>0</x:v>
      </x:c>
      <x:c r="G37" s="28" t="n">
        <x:v>0.31</x:v>
      </x:c>
      <x:c r="H37" s="28"/>
      <x:c r="I37" s="28" t="n">
        <x:v>1.3998</x:v>
      </x:c>
      <x:c r="J37" s="30" t="n">
        <x:v>0.307959</x:v>
      </x:c>
      <x:c r="K37" s="24" t="n">
        <x:v>0</x:v>
      </x:c>
      <x:c r="L37" s="24" t="str">
        <x:v>01-2024/ИЯИ-АС.2 «изм от03.07.26», л.21; 26 по штампу</x:v>
      </x:c>
      <x:c r="M37" s="24" t="str">
        <x:v>Координационная геометрия; размеры*проверить</x:v>
      </x:c>
    </x:row>
    <x:row r="38" ht="36" customHeight="1">
      <x:c r="A38" s="24" t="str">
        <x:v>F3_MU10a</x:v>
      </x:c>
      <x:c r="B38" s="24" t="str">
        <x:v>МУ10</x:v>
      </x:c>
      <x:c r="C38" s="28" t="n">
        <x:v>7.1</x:v>
      </x:c>
      <x:c r="D38" s="24" t="n">
        <x:v>21</x:v>
      </x:c>
      <x:c r="E38" s="24" t="n">
        <x:v>26</x:v>
      </x:c>
      <x:c r="F38" s="24" t="n">
        <x:v>2</x:v>
      </x:c>
      <x:c r="G38" s="28" t="n">
        <x:v>1.75</x:v>
      </x:c>
      <x:c r="H38" s="28" t="n">
        <x:v>10.44</x:v>
      </x:c>
      <x:c r="I38" s="28" t="n">
        <x:v>10.4338</x:v>
      </x:c>
      <x:c r="J38" s="30" t="n">
        <x:v>1.887603</x:v>
      </x:c>
      <x:c r="K38" s="24" t="n">
        <x:v>0</x:v>
      </x:c>
      <x:c r="L38" s="24" t="str">
        <x:v>01-2024/ИЯИ-АС.2 «изм от03.07.26», л.21; 26 по штампу</x:v>
      </x:c>
      <x:c r="M38" s="24" t="str">
        <x:v>Координационная геометрия; размеры*проверить</x:v>
      </x:c>
    </x:row>
    <x:row r="39" ht="36" customHeight="1">
      <x:c r="A39" s="24" t="str">
        <x:v>F3_MU10b</x:v>
      </x:c>
      <x:c r="B39" s="24" t="str">
        <x:v>МУ10</x:v>
      </x:c>
      <x:c r="C39" s="28" t="n">
        <x:v>7.1</x:v>
      </x:c>
      <x:c r="D39" s="24" t="n">
        <x:v>21</x:v>
      </x:c>
      <x:c r="E39" s="24" t="n">
        <x:v>26</x:v>
      </x:c>
      <x:c r="F39" s="24" t="n">
        <x:v>2</x:v>
      </x:c>
      <x:c r="G39" s="28" t="n">
        <x:v>1.75</x:v>
      </x:c>
      <x:c r="H39" s="28" t="n">
        <x:v>10.44</x:v>
      </x:c>
      <x:c r="I39" s="28" t="n">
        <x:v>10.4338</x:v>
      </x:c>
      <x:c r="J39" s="30" t="n">
        <x:v>1.887601</x:v>
      </x:c>
      <x:c r="K39" s="24" t="n">
        <x:v>0</x:v>
      </x:c>
      <x:c r="L39" s="24" t="str">
        <x:v>01-2024/ИЯИ-АС.2 «изм от03.07.26», л.21; 26 по штампу</x:v>
      </x:c>
      <x:c r="M39" s="24" t="str">
        <x:v>Координационная геометрия; размеры*проверить</x:v>
      </x:c>
    </x:row>
    <x:row r="40" ht="36" customHeight="1">
      <x:c r="A40" s="24" t="str">
        <x:v>F3_MU27</x:v>
      </x:c>
      <x:c r="B40" s="24" t="str">
        <x:v>МУ27</x:v>
      </x:c>
      <x:c r="C40" s="28" t="n">
        <x:v>7.1</x:v>
      </x:c>
      <x:c r="D40" s="24" t="n">
        <x:v>21</x:v>
      </x:c>
      <x:c r="E40" s="24" t="n">
        <x:v>33</x:v>
      </x:c>
      <x:c r="F40" s="24" t="n">
        <x:v>0</x:v>
      </x:c>
      <x:c r="G40" s="28" t="n">
        <x:v>0.17</x:v>
      </x:c>
      <x:c r="H40" s="28"/>
      <x:c r="I40" s="28" t="n">
        <x:v>0.9971</x:v>
      </x:c>
      <x:c r="J40" s="30" t="n">
        <x:v>0.219352</x:v>
      </x:c>
      <x:c r="K40" s="24" t="n">
        <x:v>0</x:v>
      </x:c>
      <x:c r="L40" s="24" t="str">
        <x:v>01-2024/ИЯИ-АС.2 «изм от03.07.26», л.21; 33 по штампу</x:v>
      </x:c>
      <x:c r="M40" s="24" t="str">
        <x:v>Координационная геометрия; размеры*проверить</x:v>
      </x:c>
    </x:row>
    <x:row r="41" ht="36" customHeight="1">
      <x:c r="A41" s="24" t="str">
        <x:v>F3_MU28</x:v>
      </x:c>
      <x:c r="B41" s="24" t="str">
        <x:v>МУ28</x:v>
      </x:c>
      <x:c r="C41" s="28" t="n">
        <x:v>7.1</x:v>
      </x:c>
      <x:c r="D41" s="24" t="n">
        <x:v>21</x:v>
      </x:c>
      <x:c r="E41" s="24" t="n">
        <x:v>34</x:v>
      </x:c>
      <x:c r="F41" s="24" t="n">
        <x:v>2</x:v>
      </x:c>
      <x:c r="G41" s="28" t="n">
        <x:v>1.75</x:v>
      </x:c>
      <x:c r="H41" s="28" t="n">
        <x:v>9.66</x:v>
      </x:c>
      <x:c r="I41" s="28" t="n">
        <x:v>9.6267</x:v>
      </x:c>
      <x:c r="J41" s="30" t="n">
        <x:v>1.743239</x:v>
      </x:c>
      <x:c r="K41" s="24" t="n">
        <x:v>5</x:v>
      </x:c>
      <x:c r="L41" s="24" t="str">
        <x:v>01-2024/ИЯИ-АС.2 «изм от03.07.26», л.21; 34 по штампу</x:v>
      </x:c>
      <x:c r="M41" s="24" t="str">
        <x:v>Координационная геометрия; размеры*проверить</x:v>
      </x:c>
    </x:row>
    <x:row r="42" ht="36" customHeight="1">
      <x:c r="A42" s="24" t="str">
        <x:v>F3_MU29</x:v>
      </x:c>
      <x:c r="B42" s="24" t="str">
        <x:v>МУ29</x:v>
      </x:c>
      <x:c r="C42" s="28" t="n">
        <x:v>7.1</x:v>
      </x:c>
      <x:c r="D42" s="24" t="n">
        <x:v>21</x:v>
      </x:c>
      <x:c r="E42" s="24" t="n">
        <x:v>34</x:v>
      </x:c>
      <x:c r="F42" s="24" t="n">
        <x:v>2</x:v>
      </x:c>
      <x:c r="G42" s="28" t="n">
        <x:v>1.75</x:v>
      </x:c>
      <x:c r="H42" s="28" t="n">
        <x:v>8.92</x:v>
      </x:c>
      <x:c r="I42" s="28" t="n">
        <x:v>9.5031</x:v>
      </x:c>
      <x:c r="J42" s="30" t="n">
        <x:v>1.719034</x:v>
      </x:c>
      <x:c r="K42" s="24" t="n">
        <x:v>3</x:v>
      </x:c>
      <x:c r="L42" s="24" t="str">
        <x:v>01-2024/ИЯИ-АС.2 «изм от03.07.26», л.21; 34 по штампу</x:v>
      </x:c>
      <x:c r="M42" s="24" t="str">
        <x:v>Координационная геометрия; размеры*проверить</x:v>
      </x:c>
    </x:row>
    <x:row r="43" ht="36" customHeight="1">
      <x:c r="A43" s="24" t="str">
        <x:v>F3_MU30</x:v>
      </x:c>
      <x:c r="B43" s="24" t="str">
        <x:v>МУ30</x:v>
      </x:c>
      <x:c r="C43" s="28" t="n">
        <x:v>7.1</x:v>
      </x:c>
      <x:c r="D43" s="24" t="n">
        <x:v>21</x:v>
      </x:c>
      <x:c r="E43" s="24" t="n">
        <x:v>35</x:v>
      </x:c>
      <x:c r="F43" s="24" t="n">
        <x:v>2</x:v>
      </x:c>
      <x:c r="G43" s="28" t="n">
        <x:v>1.75</x:v>
      </x:c>
      <x:c r="H43" s="28" t="n">
        <x:v>10.1</x:v>
      </x:c>
      <x:c r="I43" s="28" t="n">
        <x:v>10.0353</x:v>
      </x:c>
      <x:c r="J43" s="30" t="n">
        <x:v>1.815814</x:v>
      </x:c>
      <x:c r="K43" s="24" t="n">
        <x:v>2</x:v>
      </x:c>
      <x:c r="L43" s="24" t="str">
        <x:v>01-2024/ИЯИ-АС.2 «изм от03.07.26», л.21; 35 по штампу</x:v>
      </x:c>
      <x:c r="M43" s="24" t="str">
        <x:v>Координационная геометрия; размеры*проверить</x:v>
      </x:c>
    </x:row>
    <x:row r="44" ht="36" customHeight="1">
      <x:c r="A44" s="24" t="str">
        <x:v>F3_MU14</x:v>
      </x:c>
      <x:c r="B44" s="24" t="str">
        <x:v>МУ14</x:v>
      </x:c>
      <x:c r="C44" s="28" t="n">
        <x:v>7.1</x:v>
      </x:c>
      <x:c r="D44" s="24" t="n">
        <x:v>21</x:v>
      </x:c>
      <x:c r="E44" s="24" t="n">
        <x:v>28</x:v>
      </x:c>
      <x:c r="F44" s="24" t="n">
        <x:v>2</x:v>
      </x:c>
      <x:c r="G44" s="28" t="n">
        <x:v>1.75</x:v>
      </x:c>
      <x:c r="H44" s="28" t="n">
        <x:v>10.44</x:v>
      </x:c>
      <x:c r="I44" s="28" t="n">
        <x:v>10.4166</x:v>
      </x:c>
      <x:c r="J44" s="30" t="n">
        <x:v>1.884573</x:v>
      </x:c>
      <x:c r="K44" s="24" t="n">
        <x:v>1</x:v>
      </x:c>
      <x:c r="L44" s="24" t="str">
        <x:v>01-2024/ИЯИ-АС.2 «изм от03.07.26», л.21; 28 по штампу</x:v>
      </x:c>
      <x:c r="M44" s="24" t="str">
        <x:v>Координационная геометрия; размеры*проверить</x:v>
      </x:c>
    </x:row>
    <x:row r="45" ht="36" customHeight="1">
      <x:c r="A45" s="24" t="str">
        <x:v>F3_MU31</x:v>
      </x:c>
      <x:c r="B45" s="24" t="str">
        <x:v>МУ31</x:v>
      </x:c>
      <x:c r="C45" s="28" t="n">
        <x:v>7.1</x:v>
      </x:c>
      <x:c r="D45" s="24" t="n">
        <x:v>21</x:v>
      </x:c>
      <x:c r="E45" s="24" t="n">
        <x:v>35</x:v>
      </x:c>
      <x:c r="F45" s="24" t="n">
        <x:v>0</x:v>
      </x:c>
      <x:c r="G45" s="28" t="n">
        <x:v>0.64</x:v>
      </x:c>
      <x:c r="H45" s="28"/>
      <x:c r="I45" s="28" t="n">
        <x:v>2.8173</x:v>
      </x:c>
      <x:c r="J45" s="30" t="n">
        <x:v>0.619812</x:v>
      </x:c>
      <x:c r="K45" s="24" t="n">
        <x:v>2</x:v>
      </x:c>
      <x:c r="L45" s="24" t="str">
        <x:v>01-2024/ИЯИ-АС.2 «изм от03.07.26», л.21; 35 по штампу</x:v>
      </x:c>
      <x:c r="M45" s="24" t="str">
        <x:v>Координационная геометрия; размеры*проверить</x:v>
      </x:c>
    </x:row>
    <x:row r="46" ht="36" customHeight="1">
      <x:c r="A46" s="24" t="str">
        <x:v>F3_MU15</x:v>
      </x:c>
      <x:c r="B46" s="24" t="str">
        <x:v>МУ15</x:v>
      </x:c>
      <x:c r="C46" s="28" t="n">
        <x:v>7.1</x:v>
      </x:c>
      <x:c r="D46" s="24" t="n">
        <x:v>21</x:v>
      </x:c>
      <x:c r="E46" s="24" t="n">
        <x:v>23</x:v>
      </x:c>
      <x:c r="F46" s="24" t="n">
        <x:v>0</x:v>
      </x:c>
      <x:c r="G46" s="28" t="n">
        <x:v>1.1</x:v>
      </x:c>
      <x:c r="H46" s="28"/>
      <x:c r="I46" s="28" t="n">
        <x:v>4.8361</x:v>
      </x:c>
      <x:c r="J46" s="30" t="n">
        <x:v>1.063942</x:v>
      </x:c>
      <x:c r="K46" s="24" t="n">
        <x:v>0</x:v>
      </x:c>
      <x:c r="L46" s="24" t="str">
        <x:v>01-2024/ИЯИ-АС.2 «изм от03.07.26», л.21; 23 по штампу</x:v>
      </x:c>
      <x:c r="M46" s="24" t="str">
        <x:v>Координационная геометрия; размеры*проверить</x:v>
      </x:c>
    </x:row>
    <x:row r="47" ht="36" customHeight="1">
      <x:c r="A47" s="24" t="str">
        <x:v>F3_MU16</x:v>
      </x:c>
      <x:c r="B47" s="24" t="str">
        <x:v>МУ16</x:v>
      </x:c>
      <x:c r="C47" s="28" t="n">
        <x:v>7.1</x:v>
      </x:c>
      <x:c r="D47" s="24" t="n">
        <x:v>21</x:v>
      </x:c>
      <x:c r="E47" s="24" t="n">
        <x:v>29</x:v>
      </x:c>
      <x:c r="F47" s="24" t="n">
        <x:v>2</x:v>
      </x:c>
      <x:c r="G47" s="28" t="n">
        <x:v>1.75</x:v>
      </x:c>
      <x:c r="H47" s="28" t="n">
        <x:v>10.34</x:v>
      </x:c>
      <x:c r="I47" s="28" t="n">
        <x:v>10.3104</x:v>
      </x:c>
      <x:c r="J47" s="30" t="n">
        <x:v>1.865479</x:v>
      </x:c>
      <x:c r="K47" s="24" t="n">
        <x:v>3</x:v>
      </x:c>
      <x:c r="L47" s="24" t="str">
        <x:v>01-2024/ИЯИ-АС.2 «изм от03.07.26», л.21; 29 по штампу</x:v>
      </x:c>
      <x:c r="M47" s="24" t="str">
        <x:v>Координационная геометрия; размеры*проверить</x:v>
      </x:c>
    </x:row>
    <x:row r="48" ht="36" customHeight="1">
      <x:c r="A48" s="24" t="str">
        <x:v>F3_MU17</x:v>
      </x:c>
      <x:c r="B48" s="24" t="str">
        <x:v>МУ17</x:v>
      </x:c>
      <x:c r="C48" s="28" t="n">
        <x:v>7.1</x:v>
      </x:c>
      <x:c r="D48" s="24" t="n">
        <x:v>21</x:v>
      </x:c>
      <x:c r="E48" s="24" t="n">
        <x:v>29</x:v>
      </x:c>
      <x:c r="F48" s="24" t="n">
        <x:v>2</x:v>
      </x:c>
      <x:c r="G48" s="28" t="n">
        <x:v>1.75</x:v>
      </x:c>
      <x:c r="H48" s="28" t="n">
        <x:v>9.11</x:v>
      </x:c>
      <x:c r="I48" s="28" t="n">
        <x:v>9.0669</x:v>
      </x:c>
      <x:c r="J48" s="30" t="n">
        <x:v>1.640056</x:v>
      </x:c>
      <x:c r="K48" s="24" t="n">
        <x:v>4</x:v>
      </x:c>
      <x:c r="L48" s="24" t="str">
        <x:v>01-2024/ИЯИ-АС.2 «изм от03.07.26», л.21; 29 по штампу</x:v>
      </x:c>
      <x:c r="M48" s="24" t="str">
        <x:v>Координационная геометрия; размеры*проверить</x:v>
      </x:c>
    </x:row>
    <x:row r="49" ht="36" customHeight="1">
      <x:c r="A49" s="24" t="str">
        <x:v>F3_MU18</x:v>
      </x:c>
      <x:c r="B49" s="24" t="str">
        <x:v>МУ18</x:v>
      </x:c>
      <x:c r="C49" s="28" t="n">
        <x:v>7.1</x:v>
      </x:c>
      <x:c r="D49" s="24" t="n">
        <x:v>21</x:v>
      </x:c>
      <x:c r="E49" s="24" t="n">
        <x:v>28</x:v>
      </x:c>
      <x:c r="F49" s="24" t="n">
        <x:v>2</x:v>
      </x:c>
      <x:c r="G49" s="28" t="n">
        <x:v>1.75</x:v>
      </x:c>
      <x:c r="H49" s="28" t="n">
        <x:v>8.83</x:v>
      </x:c>
      <x:c r="I49" s="28" t="n">
        <x:v>8.8274</x:v>
      </x:c>
      <x:c r="J49" s="30" t="n">
        <x:v>1.596391</x:v>
      </x:c>
      <x:c r="K49" s="24" t="n">
        <x:v>2</x:v>
      </x:c>
      <x:c r="L49" s="24" t="str">
        <x:v>01-2024/ИЯИ-АС.2 «изм от03.07.26», л.21; 28 по штампу</x:v>
      </x:c>
      <x:c r="M49" s="24" t="str">
        <x:v>Координационная геометрия; размеры*проверить</x:v>
      </x:c>
    </x:row>
    <x:row r="50" ht="36" customHeight="1">
      <x:c r="A50" s="24" t="str">
        <x:v>F3_MU19</x:v>
      </x:c>
      <x:c r="B50" s="24" t="str">
        <x:v>МУ19</x:v>
      </x:c>
      <x:c r="C50" s="28" t="n">
        <x:v>7.1</x:v>
      </x:c>
      <x:c r="D50" s="24" t="n">
        <x:v>21</x:v>
      </x:c>
      <x:c r="E50" s="24" t="n">
        <x:v>30</x:v>
      </x:c>
      <x:c r="F50" s="24" t="n">
        <x:v>2</x:v>
      </x:c>
      <x:c r="G50" s="28" t="n">
        <x:v>1.75</x:v>
      </x:c>
      <x:c r="H50" s="28" t="n">
        <x:v>9.29</x:v>
      </x:c>
      <x:c r="I50" s="28" t="n">
        <x:v>9.2391</x:v>
      </x:c>
      <x:c r="J50" s="30" t="n">
        <x:v>1.673162</x:v>
      </x:c>
      <x:c r="K50" s="24" t="n">
        <x:v>5</x:v>
      </x:c>
      <x:c r="L50" s="24" t="str">
        <x:v>01-2024/ИЯИ-АС.2 «изм от03.07.26», л.21; 30 по штампу</x:v>
      </x:c>
      <x:c r="M50" s="24" t="str">
        <x:v>Координационная геометрия; размеры*проверить</x:v>
      </x:c>
    </x:row>
    <x:row r="51" ht="36" customHeight="1">
      <x:c r="A51" s="24" t="str">
        <x:v>F3_MU32</x:v>
      </x:c>
      <x:c r="B51" s="24" t="str">
        <x:v>МУ32</x:v>
      </x:c>
      <x:c r="C51" s="28" t="n">
        <x:v>7.1</x:v>
      </x:c>
      <x:c r="D51" s="24" t="n">
        <x:v>21</x:v>
      </x:c>
      <x:c r="E51" s="24" t="n">
        <x:v>36</x:v>
      </x:c>
      <x:c r="F51" s="24" t="n">
        <x:v>2</x:v>
      </x:c>
      <x:c r="G51" s="28" t="n">
        <x:v>1.75</x:v>
      </x:c>
      <x:c r="H51" s="28" t="n">
        <x:v>9.81</x:v>
      </x:c>
      <x:c r="I51" s="28" t="n">
        <x:v>9.752</x:v>
      </x:c>
      <x:c r="J51" s="30" t="n">
        <x:v>1.764281</x:v>
      </x:c>
      <x:c r="K51" s="24" t="n">
        <x:v>3</x:v>
      </x:c>
      <x:c r="L51" s="24" t="str">
        <x:v>01-2024/ИЯИ-АС.2 «изм от03.07.26», л.21; 36 по штампу</x:v>
      </x:c>
      <x:c r="M51" s="24" t="str">
        <x:v>Координационная геометрия; размеры*проверить</x:v>
      </x:c>
    </x:row>
    <x:row r="52" ht="36" customHeight="1">
      <x:c r="A52" s="24" t="str">
        <x:v>F3_MU33</x:v>
      </x:c>
      <x:c r="B52" s="24" t="str">
        <x:v>МУ33</x:v>
      </x:c>
      <x:c r="C52" s="28" t="n">
        <x:v>7.1</x:v>
      </x:c>
      <x:c r="D52" s="24" t="n">
        <x:v>21</x:v>
      </x:c>
      <x:c r="E52" s="24" t="n">
        <x:v>36</x:v>
      </x:c>
      <x:c r="F52" s="24" t="n">
        <x:v>2</x:v>
      </x:c>
      <x:c r="G52" s="28" t="n">
        <x:v>1.75</x:v>
      </x:c>
      <x:c r="H52" s="28" t="n">
        <x:v>9.81</x:v>
      </x:c>
      <x:c r="I52" s="28" t="n">
        <x:v>9.8222</x:v>
      </x:c>
      <x:c r="J52" s="30" t="n">
        <x:v>1.77682</x:v>
      </x:c>
      <x:c r="K52" s="24" t="n">
        <x:v>2</x:v>
      </x:c>
      <x:c r="L52" s="24" t="str">
        <x:v>01-2024/ИЯИ-АС.2 «изм от03.07.26», л.21; 36 по штампу</x:v>
      </x:c>
      <x:c r="M52" s="24" t="str">
        <x:v>Координационная геометрия; размеры*проверить</x:v>
      </x:c>
    </x:row>
    <x:row r="53" ht="36" customHeight="1">
      <x:c r="A53" s="24" t="str">
        <x:v>F3_MU34</x:v>
      </x:c>
      <x:c r="B53" s="24" t="str">
        <x:v>МУ34</x:v>
      </x:c>
      <x:c r="C53" s="28" t="n">
        <x:v>7.1</x:v>
      </x:c>
      <x:c r="D53" s="24" t="n">
        <x:v>21</x:v>
      </x:c>
      <x:c r="E53" s="24" t="n">
        <x:v>37</x:v>
      </x:c>
      <x:c r="F53" s="24" t="n">
        <x:v>0</x:v>
      </x:c>
      <x:c r="G53" s="28" t="n">
        <x:v>1.4</x:v>
      </x:c>
      <x:c r="H53" s="28"/>
      <x:c r="I53" s="28" t="n">
        <x:v>6.3104</x:v>
      </x:c>
      <x:c r="J53" s="30" t="n">
        <x:v>1.388284</x:v>
      </x:c>
      <x:c r="K53" s="24" t="n">
        <x:v>1</x:v>
      </x:c>
      <x:c r="L53" s="24" t="str">
        <x:v>01-2024/ИЯИ-АС.2 «изм от03.07.26», л.21; 37 по штампу</x:v>
      </x:c>
      <x:c r="M53" s="24" t="str">
        <x:v>Координационная геометрия; размеры*проверить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bdb04265be7b4fc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20" hidden="0" customWidth="1"/>
    <x:col min="3" max="3" width="13" hidden="0" customWidth="1"/>
    <x:col min="4" max="4" width="13" hidden="0" customWidth="1"/>
    <x:col min="5" max="5" width="13" hidden="0" customWidth="1"/>
    <x:col min="6" max="6" width="18" hidden="0" customWidth="1"/>
    <x:col min="7" max="7" width="18" hidden="0" customWidth="1"/>
    <x:col min="8" max="8" width="20" hidden="0" customWidth="1"/>
    <x:col min="9" max="9" width="48" hidden="0" customWidth="1"/>
    <x:col min="10" max="10" width="70" hidden="0" customWidth="1"/>
  </x:cols>
  <x:sheetData>
    <x:row r="1" ht="32" customHeight="1">
      <x:c r="A1" s="4" t="str">
        <x:v>БАЛКИ Б1 / СБОРКИ БЕЗ ДВОЙНОГО УЧЁТА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22" customHeight="1">
      <x:c r="A2" s="10" t="str">
        <x:v>68 сборок. Приведённая масса — две основные позиции одной Б1 по спецификации л.24. Это не полная масса монтажного комплекта.</x:v>
      </x:c>
      <x:c r="B2" s="10"/>
      <x:c r="C2" s="10"/>
      <x:c r="D2" s="10"/>
      <x:c r="E2" s="10"/>
      <x:c r="F2" s="10"/>
      <x:c r="G2" s="10"/>
      <x:c r="H2" s="10"/>
      <x:c r="I2" s="10"/>
      <x:c r="J2" s="10"/>
    </x:row>
    <x:row r="3" ht="22" customHeight="1">
      <x:c r="A3" s="10"/>
      <x:c r="B3" s="10"/>
      <x:c r="C3" s="10"/>
      <x:c r="D3" s="10"/>
      <x:c r="E3" s="10"/>
      <x:c r="F3" s="10"/>
      <x:c r="G3" s="10"/>
      <x:c r="H3" s="10"/>
      <x:c r="I3" s="10"/>
      <x:c r="J3" s="10"/>
    </x:row>
    <x:row r="5" ht="40" customHeight="1">
      <x:c r="A5" s="17" t="str">
        <x:v>ID сборки</x:v>
      </x:c>
      <x:c r="B5" s="17" t="str">
        <x:v>МУ</x:v>
      </x:c>
      <x:c r="C5" s="17" t="str">
        <x:v>Верх МУ, м</x:v>
      </x:c>
      <x:c r="D5" s="17" t="str">
        <x:v>Сборок, шт.</x:v>
      </x:c>
      <x:c r="E5" s="17" t="str">
        <x:v>Длина, м</x:v>
      </x:c>
      <x:c r="F5" s="17" t="str">
        <x:v>Швеллер27П, кг</x:v>
      </x:c>
      <x:c r="G5" s="17" t="str">
        <x:v>Уголок100×8, кг</x:v>
      </x:c>
      <x:c r="H5" s="17" t="str">
        <x:v>Основные профили, кг</x:v>
      </x:c>
      <x:c r="I5" s="17" t="str">
        <x:v>Источник</x:v>
      </x:c>
      <x:c r="J5" s="17" t="str">
        <x:v>Ограничение</x:v>
      </x:c>
    </x:row>
    <x:row r="6" ht="36" customHeight="1">
      <x:c r="A6" s="24" t="str">
        <x:v>F2_MU4_B1a</x:v>
      </x:c>
      <x:c r="B6" s="24" t="str">
        <x:v>F2_MU4</x:v>
      </x:c>
      <x:c r="C6" s="28" t="n">
        <x:v>3.5</x:v>
      </x:c>
      <x:c r="D6" s="24" t="n">
        <x:v>1</x:v>
      </x:c>
      <x:c r="E6" s="32" t="n">
        <x:v>5.78</x:v>
      </x:c>
      <x:c r="F6" s="32" t="n">
        <x:v>160</x:v>
      </x:c>
      <x:c r="G6" s="32" t="n">
        <x:v>69</x:v>
      </x:c>
      <x:c r="H6" s="32" t="n">
        <x:f>D6*(F6+G6)</x:f>
        <x:v>229</x:v>
      </x:c>
      <x:c r="I6" s="24" t="str">
        <x:v>АС.2 л.24; 01-2024/ИЯИ-АС.2 «изм от03.07.26», л.20; 24 по штампу</x:v>
      </x:c>
      <x:c r="J6" s="24" t="str">
        <x:v>Масса229 кг — только швеллер+уголок. Ø6, сварка и покрытия не включены.</x:v>
      </x:c>
    </x:row>
    <x:row r="7" ht="36" customHeight="1">
      <x:c r="A7" s="24" t="str">
        <x:v>F2_MU4_B1b</x:v>
      </x:c>
      <x:c r="B7" s="24" t="str">
        <x:v>F2_MU4</x:v>
      </x:c>
      <x:c r="C7" s="28" t="n">
        <x:v>3.5</x:v>
      </x:c>
      <x:c r="D7" s="24" t="n">
        <x:v>1</x:v>
      </x:c>
      <x:c r="E7" s="32" t="n">
        <x:v>5.78</x:v>
      </x:c>
      <x:c r="F7" s="32" t="n">
        <x:v>160</x:v>
      </x:c>
      <x:c r="G7" s="32" t="n">
        <x:v>69</x:v>
      </x:c>
      <x:c r="H7" s="32" t="n">
        <x:f>D7*(F7+G7)</x:f>
        <x:v>229</x:v>
      </x:c>
      <x:c r="I7" s="24" t="str">
        <x:v>АС.2 л.24; 01-2024/ИЯИ-АС.2 «изм от03.07.26», л.20; 24 по штампу</x:v>
      </x:c>
      <x:c r="J7" s="24" t="str">
        <x:v>Масса229 кг — только швеллер+уголок. Ø6, сварка и покрытия не включены.</x:v>
      </x:c>
    </x:row>
    <x:row r="8" ht="36" customHeight="1">
      <x:c r="A8" s="24" t="str">
        <x:v>F2_MU5_B1a</x:v>
      </x:c>
      <x:c r="B8" s="24" t="str">
        <x:v>F2_MU5</x:v>
      </x:c>
      <x:c r="C8" s="28" t="n">
        <x:v>3.5</x:v>
      </x:c>
      <x:c r="D8" s="24" t="n">
        <x:v>1</x:v>
      </x:c>
      <x:c r="E8" s="32" t="n">
        <x:v>5.78</x:v>
      </x:c>
      <x:c r="F8" s="32" t="n">
        <x:v>160</x:v>
      </x:c>
      <x:c r="G8" s="32" t="n">
        <x:v>69</x:v>
      </x:c>
      <x:c r="H8" s="32" t="n">
        <x:f>D8*(F8+G8)</x:f>
        <x:v>229</x:v>
      </x:c>
      <x:c r="I8" s="24" t="str">
        <x:v>АС.2 л.24; 01-2024/ИЯИ-АС.2 «изм от03.07.26», л.20; 24 по штампу</x:v>
      </x:c>
      <x:c r="J8" s="24" t="str">
        <x:v>Масса229 кг — только швеллер+уголок. Ø6, сварка и покрытия не включены.</x:v>
      </x:c>
    </x:row>
    <x:row r="9" ht="36" customHeight="1">
      <x:c r="A9" s="24" t="str">
        <x:v>F2_MU5_B1b</x:v>
      </x:c>
      <x:c r="B9" s="24" t="str">
        <x:v>F2_MU5</x:v>
      </x:c>
      <x:c r="C9" s="28" t="n">
        <x:v>3.5</x:v>
      </x:c>
      <x:c r="D9" s="24" t="n">
        <x:v>1</x:v>
      </x:c>
      <x:c r="E9" s="32" t="n">
        <x:v>5.78</x:v>
      </x:c>
      <x:c r="F9" s="32" t="n">
        <x:v>160</x:v>
      </x:c>
      <x:c r="G9" s="32" t="n">
        <x:v>69</x:v>
      </x:c>
      <x:c r="H9" s="32" t="n">
        <x:f>D9*(F9+G9)</x:f>
        <x:v>229</x:v>
      </x:c>
      <x:c r="I9" s="24" t="str">
        <x:v>АС.2 л.24; 01-2024/ИЯИ-АС.2 «изм от03.07.26», л.20; 24 по штампу</x:v>
      </x:c>
      <x:c r="J9" s="24" t="str">
        <x:v>Масса229 кг — только швеллер+уголок. Ø6, сварка и покрытия не включены.</x:v>
      </x:c>
    </x:row>
    <x:row r="10" ht="36" customHeight="1">
      <x:c r="A10" s="24" t="str">
        <x:v>F2_MU6_B1a</x:v>
      </x:c>
      <x:c r="B10" s="24" t="str">
        <x:v>F2_MU6</x:v>
      </x:c>
      <x:c r="C10" s="28" t="n">
        <x:v>3.5</x:v>
      </x:c>
      <x:c r="D10" s="24" t="n">
        <x:v>1</x:v>
      </x:c>
      <x:c r="E10" s="32" t="n">
        <x:v>5.78</x:v>
      </x:c>
      <x:c r="F10" s="32" t="n">
        <x:v>160</x:v>
      </x:c>
      <x:c r="G10" s="32" t="n">
        <x:v>69</x:v>
      </x:c>
      <x:c r="H10" s="32" t="n">
        <x:f>D10*(F10+G10)</x:f>
        <x:v>229</x:v>
      </x:c>
      <x:c r="I10" s="24" t="str">
        <x:v>АС.2 л.24; 01-2024/ИЯИ-АС.2 «изм от03.07.26», л.20; 25 по штампу</x:v>
      </x:c>
      <x:c r="J10" s="24" t="str">
        <x:v>Масса229 кг — только швеллер+уголок. Ø6, сварка и покрытия не включены.</x:v>
      </x:c>
    </x:row>
    <x:row r="11" ht="36" customHeight="1">
      <x:c r="A11" s="24" t="str">
        <x:v>F2_MU6_B1b</x:v>
      </x:c>
      <x:c r="B11" s="24" t="str">
        <x:v>F2_MU6</x:v>
      </x:c>
      <x:c r="C11" s="28" t="n">
        <x:v>3.5</x:v>
      </x:c>
      <x:c r="D11" s="24" t="n">
        <x:v>1</x:v>
      </x:c>
      <x:c r="E11" s="32" t="n">
        <x:v>5.78</x:v>
      </x:c>
      <x:c r="F11" s="32" t="n">
        <x:v>160</x:v>
      </x:c>
      <x:c r="G11" s="32" t="n">
        <x:v>69</x:v>
      </x:c>
      <x:c r="H11" s="32" t="n">
        <x:f>D11*(F11+G11)</x:f>
        <x:v>229</x:v>
      </x:c>
      <x:c r="I11" s="24" t="str">
        <x:v>АС.2 л.24; 01-2024/ИЯИ-АС.2 «изм от03.07.26», л.20; 25 по штампу</x:v>
      </x:c>
      <x:c r="J11" s="24" t="str">
        <x:v>Масса229 кг — только швеллер+уголок. Ø6, сварка и покрытия не включены.</x:v>
      </x:c>
    </x:row>
    <x:row r="12" ht="36" customHeight="1">
      <x:c r="A12" s="24" t="str">
        <x:v>F2_MU7_B1a</x:v>
      </x:c>
      <x:c r="B12" s="24" t="str">
        <x:v>F2_MU7</x:v>
      </x:c>
      <x:c r="C12" s="28" t="n">
        <x:v>3.5</x:v>
      </x:c>
      <x:c r="D12" s="24" t="n">
        <x:v>1</x:v>
      </x:c>
      <x:c r="E12" s="32" t="n">
        <x:v>5.78</x:v>
      </x:c>
      <x:c r="F12" s="32" t="n">
        <x:v>160</x:v>
      </x:c>
      <x:c r="G12" s="32" t="n">
        <x:v>69</x:v>
      </x:c>
      <x:c r="H12" s="32" t="n">
        <x:f>D12*(F12+G12)</x:f>
        <x:v>229</x:v>
      </x:c>
      <x:c r="I12" s="24" t="str">
        <x:v>АС.2 л.24; 01-2024/ИЯИ-АС.2 «изм от03.07.26», л.20; 25 по штампу</x:v>
      </x:c>
      <x:c r="J12" s="24" t="str">
        <x:v>Масса229 кг — только швеллер+уголок. Ø6, сварка и покрытия не включены.</x:v>
      </x:c>
    </x:row>
    <x:row r="13" ht="36" customHeight="1">
      <x:c r="A13" s="24" t="str">
        <x:v>F2_MU7_B1b</x:v>
      </x:c>
      <x:c r="B13" s="24" t="str">
        <x:v>F2_MU7</x:v>
      </x:c>
      <x:c r="C13" s="28" t="n">
        <x:v>3.5</x:v>
      </x:c>
      <x:c r="D13" s="24" t="n">
        <x:v>1</x:v>
      </x:c>
      <x:c r="E13" s="32" t="n">
        <x:v>5.78</x:v>
      </x:c>
      <x:c r="F13" s="32" t="n">
        <x:v>160</x:v>
      </x:c>
      <x:c r="G13" s="32" t="n">
        <x:v>69</x:v>
      </x:c>
      <x:c r="H13" s="32" t="n">
        <x:f>D13*(F13+G13)</x:f>
        <x:v>229</x:v>
      </x:c>
      <x:c r="I13" s="24" t="str">
        <x:v>АС.2 л.24; 01-2024/ИЯИ-АС.2 «изм от03.07.26», л.20; 25 по штампу</x:v>
      </x:c>
      <x:c r="J13" s="24" t="str">
        <x:v>Масса229 кг — только швеллер+уголок. Ø6, сварка и покрытия не включены.</x:v>
      </x:c>
    </x:row>
    <x:row r="14" ht="36" customHeight="1">
      <x:c r="A14" s="24" t="str">
        <x:v>F2_MU9_B1a</x:v>
      </x:c>
      <x:c r="B14" s="24" t="str">
        <x:v>F2_MU9</x:v>
      </x:c>
      <x:c r="C14" s="28" t="n">
        <x:v>3.5</x:v>
      </x:c>
      <x:c r="D14" s="24" t="n">
        <x:v>1</x:v>
      </x:c>
      <x:c r="E14" s="32" t="n">
        <x:v>5.78</x:v>
      </x:c>
      <x:c r="F14" s="32" t="n">
        <x:v>160</x:v>
      </x:c>
      <x:c r="G14" s="32" t="n">
        <x:v>69</x:v>
      </x:c>
      <x:c r="H14" s="32" t="n">
        <x:f>D14*(F14+G14)</x:f>
        <x:v>229</x:v>
      </x:c>
      <x:c r="I14" s="24" t="str">
        <x:v>АС.2 л.24; 01-2024/ИЯИ-АС.2 «изм от03.07.26», л.20; 26 по штампу</x:v>
      </x:c>
      <x:c r="J14" s="24" t="str">
        <x:v>Масса229 кг — только швеллер+уголок. Ø6, сварка и покрытия не включены.</x:v>
      </x:c>
    </x:row>
    <x:row r="15" ht="36" customHeight="1">
      <x:c r="A15" s="24" t="str">
        <x:v>F2_MU9_B1b</x:v>
      </x:c>
      <x:c r="B15" s="24" t="str">
        <x:v>F2_MU9</x:v>
      </x:c>
      <x:c r="C15" s="28" t="n">
        <x:v>3.5</x:v>
      </x:c>
      <x:c r="D15" s="24" t="n">
        <x:v>1</x:v>
      </x:c>
      <x:c r="E15" s="32" t="n">
        <x:v>5.78</x:v>
      </x:c>
      <x:c r="F15" s="32" t="n">
        <x:v>160</x:v>
      </x:c>
      <x:c r="G15" s="32" t="n">
        <x:v>69</x:v>
      </x:c>
      <x:c r="H15" s="32" t="n">
        <x:f>D15*(F15+G15)</x:f>
        <x:v>229</x:v>
      </x:c>
      <x:c r="I15" s="24" t="str">
        <x:v>АС.2 л.24; 01-2024/ИЯИ-АС.2 «изм от03.07.26», л.20; 26 по штампу</x:v>
      </x:c>
      <x:c r="J15" s="24" t="str">
        <x:v>Масса229 кг — только швеллер+уголок. Ø6, сварка и покрытия не включены.</x:v>
      </x:c>
    </x:row>
    <x:row r="16" ht="36" customHeight="1">
      <x:c r="A16" s="24" t="str">
        <x:v>F2_MU10_B1a</x:v>
      </x:c>
      <x:c r="B16" s="24" t="str">
        <x:v>F2_MU10</x:v>
      </x:c>
      <x:c r="C16" s="28" t="n">
        <x:v>3.5</x:v>
      </x:c>
      <x:c r="D16" s="24" t="n">
        <x:v>1</x:v>
      </x:c>
      <x:c r="E16" s="32" t="n">
        <x:v>5.78</x:v>
      </x:c>
      <x:c r="F16" s="32" t="n">
        <x:v>160</x:v>
      </x:c>
      <x:c r="G16" s="32" t="n">
        <x:v>69</x:v>
      </x:c>
      <x:c r="H16" s="32" t="n">
        <x:f>D16*(F16+G16)</x:f>
        <x:v>229</x:v>
      </x:c>
      <x:c r="I16" s="24" t="str">
        <x:v>АС.2 л.24; 01-2024/ИЯИ-АС.2 «изм от03.07.26», л.20; 26 по штампу</x:v>
      </x:c>
      <x:c r="J16" s="24" t="str">
        <x:v>Масса229 кг — только швеллер+уголок. Ø6, сварка и покрытия не включены.</x:v>
      </x:c>
    </x:row>
    <x:row r="17" ht="36" customHeight="1">
      <x:c r="A17" s="24" t="str">
        <x:v>F2_MU10_B1b</x:v>
      </x:c>
      <x:c r="B17" s="24" t="str">
        <x:v>F2_MU10</x:v>
      </x:c>
      <x:c r="C17" s="28" t="n">
        <x:v>3.5</x:v>
      </x:c>
      <x:c r="D17" s="24" t="n">
        <x:v>1</x:v>
      </x:c>
      <x:c r="E17" s="32" t="n">
        <x:v>5.78</x:v>
      </x:c>
      <x:c r="F17" s="32" t="n">
        <x:v>160</x:v>
      </x:c>
      <x:c r="G17" s="32" t="n">
        <x:v>69</x:v>
      </x:c>
      <x:c r="H17" s="32" t="n">
        <x:f>D17*(F17+G17)</x:f>
        <x:v>229</x:v>
      </x:c>
      <x:c r="I17" s="24" t="str">
        <x:v>АС.2 л.24; 01-2024/ИЯИ-АС.2 «изм от03.07.26», л.20; 26 по штампу</x:v>
      </x:c>
      <x:c r="J17" s="24" t="str">
        <x:v>Масса229 кг — только швеллер+уголок. Ø6, сварка и покрытия не включены.</x:v>
      </x:c>
    </x:row>
    <x:row r="18" ht="36" customHeight="1">
      <x:c r="A18" s="24" t="str">
        <x:v>F2_MU11_B1a</x:v>
      </x:c>
      <x:c r="B18" s="24" t="str">
        <x:v>F2_MU11</x:v>
      </x:c>
      <x:c r="C18" s="28" t="n">
        <x:v>3.5</x:v>
      </x:c>
      <x:c r="D18" s="24" t="n">
        <x:v>1</x:v>
      </x:c>
      <x:c r="E18" s="32" t="n">
        <x:v>5.78</x:v>
      </x:c>
      <x:c r="F18" s="32" t="n">
        <x:v>160</x:v>
      </x:c>
      <x:c r="G18" s="32" t="n">
        <x:v>69</x:v>
      </x:c>
      <x:c r="H18" s="32" t="n">
        <x:f>D18*(F18+G18)</x:f>
        <x:v>229</x:v>
      </x:c>
      <x:c r="I18" s="24" t="str">
        <x:v>АС.2 л.24; 01-2024/ИЯИ-АС.2 «изм от03.07.26», л.20; 27 по штампу</x:v>
      </x:c>
      <x:c r="J18" s="24" t="str">
        <x:v>Масса229 кг — только швеллер+уголок. Ø6, сварка и покрытия не включены.</x:v>
      </x:c>
    </x:row>
    <x:row r="19" ht="36" customHeight="1">
      <x:c r="A19" s="24" t="str">
        <x:v>F2_MU11_B1b</x:v>
      </x:c>
      <x:c r="B19" s="24" t="str">
        <x:v>F2_MU11</x:v>
      </x:c>
      <x:c r="C19" s="28" t="n">
        <x:v>3.5</x:v>
      </x:c>
      <x:c r="D19" s="24" t="n">
        <x:v>1</x:v>
      </x:c>
      <x:c r="E19" s="32" t="n">
        <x:v>5.78</x:v>
      </x:c>
      <x:c r="F19" s="32" t="n">
        <x:v>160</x:v>
      </x:c>
      <x:c r="G19" s="32" t="n">
        <x:v>69</x:v>
      </x:c>
      <x:c r="H19" s="32" t="n">
        <x:f>D19*(F19+G19)</x:f>
        <x:v>229</x:v>
      </x:c>
      <x:c r="I19" s="24" t="str">
        <x:v>АС.2 л.24; 01-2024/ИЯИ-АС.2 «изм от03.07.26», л.20; 27 по штампу</x:v>
      </x:c>
      <x:c r="J19" s="24" t="str">
        <x:v>Масса229 кг — только швеллер+уголок. Ø6, сварка и покрытия не включены.</x:v>
      </x:c>
    </x:row>
    <x:row r="20" ht="36" customHeight="1">
      <x:c r="A20" s="24" t="str">
        <x:v>F2_MU12_B1a</x:v>
      </x:c>
      <x:c r="B20" s="24" t="str">
        <x:v>F2_MU12</x:v>
      </x:c>
      <x:c r="C20" s="28" t="n">
        <x:v>3.5</x:v>
      </x:c>
      <x:c r="D20" s="24" t="n">
        <x:v>1</x:v>
      </x:c>
      <x:c r="E20" s="32" t="n">
        <x:v>5.78</x:v>
      </x:c>
      <x:c r="F20" s="32" t="n">
        <x:v>160</x:v>
      </x:c>
      <x:c r="G20" s="32" t="n">
        <x:v>69</x:v>
      </x:c>
      <x:c r="H20" s="32" t="n">
        <x:f>D20*(F20+G20)</x:f>
        <x:v>229</x:v>
      </x:c>
      <x:c r="I20" s="24" t="str">
        <x:v>АС.2 л.24; 01-2024/ИЯИ-АС.2 «изм от03.07.26», л.20; 27 по штампу</x:v>
      </x:c>
      <x:c r="J20" s="24" t="str">
        <x:v>Масса229 кг — только швеллер+уголок. Ø6, сварка и покрытия не включены.</x:v>
      </x:c>
    </x:row>
    <x:row r="21" ht="36" customHeight="1">
      <x:c r="A21" s="24" t="str">
        <x:v>F2_MU12_B1b</x:v>
      </x:c>
      <x:c r="B21" s="24" t="str">
        <x:v>F2_MU12</x:v>
      </x:c>
      <x:c r="C21" s="28" t="n">
        <x:v>3.5</x:v>
      </x:c>
      <x:c r="D21" s="24" t="n">
        <x:v>1</x:v>
      </x:c>
      <x:c r="E21" s="32" t="n">
        <x:v>5.78</x:v>
      </x:c>
      <x:c r="F21" s="32" t="n">
        <x:v>160</x:v>
      </x:c>
      <x:c r="G21" s="32" t="n">
        <x:v>69</x:v>
      </x:c>
      <x:c r="H21" s="32" t="n">
        <x:f>D21*(F21+G21)</x:f>
        <x:v>229</x:v>
      </x:c>
      <x:c r="I21" s="24" t="str">
        <x:v>АС.2 л.24; 01-2024/ИЯИ-АС.2 «изм от03.07.26», л.20; 27 по штампу</x:v>
      </x:c>
      <x:c r="J21" s="24" t="str">
        <x:v>Масса229 кг — только швеллер+уголок. Ø6, сварка и покрытия не включены.</x:v>
      </x:c>
    </x:row>
    <x:row r="22" ht="36" customHeight="1">
      <x:c r="A22" s="24" t="str">
        <x:v>F2_MU13_B1a</x:v>
      </x:c>
      <x:c r="B22" s="24" t="str">
        <x:v>F2_MU13</x:v>
      </x:c>
      <x:c r="C22" s="28" t="n">
        <x:v>3.5</x:v>
      </x:c>
      <x:c r="D22" s="24" t="n">
        <x:v>1</x:v>
      </x:c>
      <x:c r="E22" s="32" t="n">
        <x:v>5.78</x:v>
      </x:c>
      <x:c r="F22" s="32" t="n">
        <x:v>160</x:v>
      </x:c>
      <x:c r="G22" s="32" t="n">
        <x:v>69</x:v>
      </x:c>
      <x:c r="H22" s="32" t="n">
        <x:f>D22*(F22+G22)</x:f>
        <x:v>229</x:v>
      </x:c>
      <x:c r="I22" s="24" t="str">
        <x:v>АС.2 л.24; 01-2024/ИЯИ-АС.2 «изм от03.07.26», л.20; 28 по штампу</x:v>
      </x:c>
      <x:c r="J22" s="24" t="str">
        <x:v>Масса229 кг — только швеллер+уголок. Ø6, сварка и покрытия не включены.</x:v>
      </x:c>
    </x:row>
    <x:row r="23" ht="36" customHeight="1">
      <x:c r="A23" s="24" t="str">
        <x:v>F2_MU13_B1b</x:v>
      </x:c>
      <x:c r="B23" s="24" t="str">
        <x:v>F2_MU13</x:v>
      </x:c>
      <x:c r="C23" s="28" t="n">
        <x:v>3.5</x:v>
      </x:c>
      <x:c r="D23" s="24" t="n">
        <x:v>1</x:v>
      </x:c>
      <x:c r="E23" s="32" t="n">
        <x:v>5.78</x:v>
      </x:c>
      <x:c r="F23" s="32" t="n">
        <x:v>160</x:v>
      </x:c>
      <x:c r="G23" s="32" t="n">
        <x:v>69</x:v>
      </x:c>
      <x:c r="H23" s="32" t="n">
        <x:f>D23*(F23+G23)</x:f>
        <x:v>229</x:v>
      </x:c>
      <x:c r="I23" s="24" t="str">
        <x:v>АС.2 л.24; 01-2024/ИЯИ-АС.2 «изм от03.07.26», л.20; 28 по штампу</x:v>
      </x:c>
      <x:c r="J23" s="24" t="str">
        <x:v>Масса229 кг — только швеллер+уголок. Ø6, сварка и покрытия не включены.</x:v>
      </x:c>
    </x:row>
    <x:row r="24" ht="36" customHeight="1">
      <x:c r="A24" s="24" t="str">
        <x:v>F2_MU14_B1a</x:v>
      </x:c>
      <x:c r="B24" s="24" t="str">
        <x:v>F2_MU14</x:v>
      </x:c>
      <x:c r="C24" s="28" t="n">
        <x:v>3.5</x:v>
      </x:c>
      <x:c r="D24" s="24" t="n">
        <x:v>1</x:v>
      </x:c>
      <x:c r="E24" s="32" t="n">
        <x:v>5.78</x:v>
      </x:c>
      <x:c r="F24" s="32" t="n">
        <x:v>160</x:v>
      </x:c>
      <x:c r="G24" s="32" t="n">
        <x:v>69</x:v>
      </x:c>
      <x:c r="H24" s="32" t="n">
        <x:f>D24*(F24+G24)</x:f>
        <x:v>229</x:v>
      </x:c>
      <x:c r="I24" s="24" t="str">
        <x:v>АС.2 л.24; 01-2024/ИЯИ-АС.2 «изм от03.07.26», л.20; 28 по штампу</x:v>
      </x:c>
      <x:c r="J24" s="24" t="str">
        <x:v>Масса229 кг — только швеллер+уголок. Ø6, сварка и покрытия не включены.</x:v>
      </x:c>
    </x:row>
    <x:row r="25" ht="36" customHeight="1">
      <x:c r="A25" s="24" t="str">
        <x:v>F2_MU14_B1b</x:v>
      </x:c>
      <x:c r="B25" s="24" t="str">
        <x:v>F2_MU14</x:v>
      </x:c>
      <x:c r="C25" s="28" t="n">
        <x:v>3.5</x:v>
      </x:c>
      <x:c r="D25" s="24" t="n">
        <x:v>1</x:v>
      </x:c>
      <x:c r="E25" s="32" t="n">
        <x:v>5.78</x:v>
      </x:c>
      <x:c r="F25" s="32" t="n">
        <x:v>160</x:v>
      </x:c>
      <x:c r="G25" s="32" t="n">
        <x:v>69</x:v>
      </x:c>
      <x:c r="H25" s="32" t="n">
        <x:f>D25*(F25+G25)</x:f>
        <x:v>229</x:v>
      </x:c>
      <x:c r="I25" s="24" t="str">
        <x:v>АС.2 л.24; 01-2024/ИЯИ-АС.2 «изм от03.07.26», л.20; 28 по штампу</x:v>
      </x:c>
      <x:c r="J25" s="24" t="str">
        <x:v>Масса229 кг — только швеллер+уголок. Ø6, сварка и покрытия не включены.</x:v>
      </x:c>
    </x:row>
    <x:row r="26" ht="36" customHeight="1">
      <x:c r="A26" s="24" t="str">
        <x:v>F2_MU16_B1a</x:v>
      </x:c>
      <x:c r="B26" s="24" t="str">
        <x:v>F2_MU16</x:v>
      </x:c>
      <x:c r="C26" s="28" t="n">
        <x:v>3.5</x:v>
      </x:c>
      <x:c r="D26" s="24" t="n">
        <x:v>1</x:v>
      </x:c>
      <x:c r="E26" s="32" t="n">
        <x:v>5.78</x:v>
      </x:c>
      <x:c r="F26" s="32" t="n">
        <x:v>160</x:v>
      </x:c>
      <x:c r="G26" s="32" t="n">
        <x:v>69</x:v>
      </x:c>
      <x:c r="H26" s="32" t="n">
        <x:f>D26*(F26+G26)</x:f>
        <x:v>229</x:v>
      </x:c>
      <x:c r="I26" s="24" t="str">
        <x:v>АС.2 л.24; 01-2024/ИЯИ-АС.2 «изм от03.07.26», л.20; 29 по штампу</x:v>
      </x:c>
      <x:c r="J26" s="24" t="str">
        <x:v>Масса229 кг — только швеллер+уголок. Ø6, сварка и покрытия не включены.</x:v>
      </x:c>
    </x:row>
    <x:row r="27" ht="36" customHeight="1">
      <x:c r="A27" s="24" t="str">
        <x:v>F2_MU16_B1b</x:v>
      </x:c>
      <x:c r="B27" s="24" t="str">
        <x:v>F2_MU16</x:v>
      </x:c>
      <x:c r="C27" s="28" t="n">
        <x:v>3.5</x:v>
      </x:c>
      <x:c r="D27" s="24" t="n">
        <x:v>1</x:v>
      </x:c>
      <x:c r="E27" s="32" t="n">
        <x:v>5.78</x:v>
      </x:c>
      <x:c r="F27" s="32" t="n">
        <x:v>160</x:v>
      </x:c>
      <x:c r="G27" s="32" t="n">
        <x:v>69</x:v>
      </x:c>
      <x:c r="H27" s="32" t="n">
        <x:f>D27*(F27+G27)</x:f>
        <x:v>229</x:v>
      </x:c>
      <x:c r="I27" s="24" t="str">
        <x:v>АС.2 л.24; 01-2024/ИЯИ-АС.2 «изм от03.07.26», л.20; 29 по штампу</x:v>
      </x:c>
      <x:c r="J27" s="24" t="str">
        <x:v>Масса229 кг — только швеллер+уголок. Ø6, сварка и покрытия не включены.</x:v>
      </x:c>
    </x:row>
    <x:row r="28" ht="36" customHeight="1">
      <x:c r="A28" s="24" t="str">
        <x:v>F2_MU17_B1a</x:v>
      </x:c>
      <x:c r="B28" s="24" t="str">
        <x:v>F2_MU17</x:v>
      </x:c>
      <x:c r="C28" s="28" t="n">
        <x:v>3.5</x:v>
      </x:c>
      <x:c r="D28" s="24" t="n">
        <x:v>1</x:v>
      </x:c>
      <x:c r="E28" s="32" t="n">
        <x:v>5.78</x:v>
      </x:c>
      <x:c r="F28" s="32" t="n">
        <x:v>160</x:v>
      </x:c>
      <x:c r="G28" s="32" t="n">
        <x:v>69</x:v>
      </x:c>
      <x:c r="H28" s="32" t="n">
        <x:f>D28*(F28+G28)</x:f>
        <x:v>229</x:v>
      </x:c>
      <x:c r="I28" s="24" t="str">
        <x:v>АС.2 л.24; 01-2024/ИЯИ-АС.2 «изм от03.07.26», л.20; 29 по штампу</x:v>
      </x:c>
      <x:c r="J28" s="24" t="str">
        <x:v>Масса229 кг — только швеллер+уголок. Ø6, сварка и покрытия не включены.</x:v>
      </x:c>
    </x:row>
    <x:row r="29" ht="36" customHeight="1">
      <x:c r="A29" s="24" t="str">
        <x:v>F2_MU17_B1b</x:v>
      </x:c>
      <x:c r="B29" s="24" t="str">
        <x:v>F2_MU17</x:v>
      </x:c>
      <x:c r="C29" s="28" t="n">
        <x:v>3.5</x:v>
      </x:c>
      <x:c r="D29" s="24" t="n">
        <x:v>1</x:v>
      </x:c>
      <x:c r="E29" s="32" t="n">
        <x:v>5.78</x:v>
      </x:c>
      <x:c r="F29" s="32" t="n">
        <x:v>160</x:v>
      </x:c>
      <x:c r="G29" s="32" t="n">
        <x:v>69</x:v>
      </x:c>
      <x:c r="H29" s="32" t="n">
        <x:f>D29*(F29+G29)</x:f>
        <x:v>229</x:v>
      </x:c>
      <x:c r="I29" s="24" t="str">
        <x:v>АС.2 л.24; 01-2024/ИЯИ-АС.2 «изм от03.07.26», л.20; 29 по штампу</x:v>
      </x:c>
      <x:c r="J29" s="24" t="str">
        <x:v>Масса229 кг — только швеллер+уголок. Ø6, сварка и покрытия не включены.</x:v>
      </x:c>
    </x:row>
    <x:row r="30" ht="36" customHeight="1">
      <x:c r="A30" s="24" t="str">
        <x:v>F2_MU18_B1a</x:v>
      </x:c>
      <x:c r="B30" s="24" t="str">
        <x:v>F2_MU18</x:v>
      </x:c>
      <x:c r="C30" s="28" t="n">
        <x:v>3.5</x:v>
      </x:c>
      <x:c r="D30" s="24" t="n">
        <x:v>1</x:v>
      </x:c>
      <x:c r="E30" s="32" t="n">
        <x:v>5.78</x:v>
      </x:c>
      <x:c r="F30" s="32" t="n">
        <x:v>160</x:v>
      </x:c>
      <x:c r="G30" s="32" t="n">
        <x:v>69</x:v>
      </x:c>
      <x:c r="H30" s="32" t="n">
        <x:f>D30*(F30+G30)</x:f>
        <x:v>229</x:v>
      </x:c>
      <x:c r="I30" s="24" t="str">
        <x:v>АС.2 л.24; 01-2024/ИЯИ-АС.2 «изм от03.07.26», л.20; 28 по штампу</x:v>
      </x:c>
      <x:c r="J30" s="24" t="str">
        <x:v>Масса229 кг — только швеллер+уголок. Ø6, сварка и покрытия не включены.</x:v>
      </x:c>
    </x:row>
    <x:row r="31" ht="36" customHeight="1">
      <x:c r="A31" s="24" t="str">
        <x:v>F2_MU18_B1b</x:v>
      </x:c>
      <x:c r="B31" s="24" t="str">
        <x:v>F2_MU18</x:v>
      </x:c>
      <x:c r="C31" s="28" t="n">
        <x:v>3.5</x:v>
      </x:c>
      <x:c r="D31" s="24" t="n">
        <x:v>1</x:v>
      </x:c>
      <x:c r="E31" s="32" t="n">
        <x:v>5.78</x:v>
      </x:c>
      <x:c r="F31" s="32" t="n">
        <x:v>160</x:v>
      </x:c>
      <x:c r="G31" s="32" t="n">
        <x:v>69</x:v>
      </x:c>
      <x:c r="H31" s="32" t="n">
        <x:f>D31*(F31+G31)</x:f>
        <x:v>229</x:v>
      </x:c>
      <x:c r="I31" s="24" t="str">
        <x:v>АС.2 л.24; 01-2024/ИЯИ-АС.2 «изм от03.07.26», л.20; 28 по штампу</x:v>
      </x:c>
      <x:c r="J31" s="24" t="str">
        <x:v>Масса229 кг — только швеллер+уголок. Ø6, сварка и покрытия не включены.</x:v>
      </x:c>
    </x:row>
    <x:row r="32" ht="36" customHeight="1">
      <x:c r="A32" s="24" t="str">
        <x:v>F2_MU19_B1a</x:v>
      </x:c>
      <x:c r="B32" s="24" t="str">
        <x:v>F2_MU19</x:v>
      </x:c>
      <x:c r="C32" s="28" t="n">
        <x:v>3.5</x:v>
      </x:c>
      <x:c r="D32" s="24" t="n">
        <x:v>1</x:v>
      </x:c>
      <x:c r="E32" s="32" t="n">
        <x:v>5.78</x:v>
      </x:c>
      <x:c r="F32" s="32" t="n">
        <x:v>160</x:v>
      </x:c>
      <x:c r="G32" s="32" t="n">
        <x:v>69</x:v>
      </x:c>
      <x:c r="H32" s="32" t="n">
        <x:f>D32*(F32+G32)</x:f>
        <x:v>229</x:v>
      </x:c>
      <x:c r="I32" s="24" t="str">
        <x:v>АС.2 л.24; 01-2024/ИЯИ-АС.2 «изм от03.07.26», л.20; 30 по штампу</x:v>
      </x:c>
      <x:c r="J32" s="24" t="str">
        <x:v>Масса229 кг — только швеллер+уголок. Ø6, сварка и покрытия не включены.</x:v>
      </x:c>
    </x:row>
    <x:row r="33" ht="36" customHeight="1">
      <x:c r="A33" s="24" t="str">
        <x:v>F2_MU19_B1b</x:v>
      </x:c>
      <x:c r="B33" s="24" t="str">
        <x:v>F2_MU19</x:v>
      </x:c>
      <x:c r="C33" s="28" t="n">
        <x:v>3.5</x:v>
      </x:c>
      <x:c r="D33" s="24" t="n">
        <x:v>1</x:v>
      </x:c>
      <x:c r="E33" s="32" t="n">
        <x:v>5.78</x:v>
      </x:c>
      <x:c r="F33" s="32" t="n">
        <x:v>160</x:v>
      </x:c>
      <x:c r="G33" s="32" t="n">
        <x:v>69</x:v>
      </x:c>
      <x:c r="H33" s="32" t="n">
        <x:f>D33*(F33+G33)</x:f>
        <x:v>229</x:v>
      </x:c>
      <x:c r="I33" s="24" t="str">
        <x:v>АС.2 л.24; 01-2024/ИЯИ-АС.2 «изм от03.07.26», л.20; 30 по штампу</x:v>
      </x:c>
      <x:c r="J33" s="24" t="str">
        <x:v>Масса229 кг — только швеллер+уголок. Ø6, сварка и покрытия не включены.</x:v>
      </x:c>
    </x:row>
    <x:row r="34" ht="36" customHeight="1">
      <x:c r="A34" s="24" t="str">
        <x:v>F2_MU20_B1a</x:v>
      </x:c>
      <x:c r="B34" s="24" t="str">
        <x:v>F2_MU20</x:v>
      </x:c>
      <x:c r="C34" s="28" t="n">
        <x:v>3.5</x:v>
      </x:c>
      <x:c r="D34" s="24" t="n">
        <x:v>1</x:v>
      </x:c>
      <x:c r="E34" s="32" t="n">
        <x:v>5.78</x:v>
      </x:c>
      <x:c r="F34" s="32" t="n">
        <x:v>160</x:v>
      </x:c>
      <x:c r="G34" s="32" t="n">
        <x:v>69</x:v>
      </x:c>
      <x:c r="H34" s="32" t="n">
        <x:f>D34*(F34+G34)</x:f>
        <x:v>229</x:v>
      </x:c>
      <x:c r="I34" s="24" t="str">
        <x:v>АС.2 л.24; 01-2024/ИЯИ-АС.2 «изм от03.07.26», л.20; 30 по штампу</x:v>
      </x:c>
      <x:c r="J34" s="24" t="str">
        <x:v>Масса229 кг — только швеллер+уголок. Ø6, сварка и покрытия не включены.</x:v>
      </x:c>
    </x:row>
    <x:row r="35" ht="36" customHeight="1">
      <x:c r="A35" s="24" t="str">
        <x:v>F2_MU20_B1b</x:v>
      </x:c>
      <x:c r="B35" s="24" t="str">
        <x:v>F2_MU20</x:v>
      </x:c>
      <x:c r="C35" s="28" t="n">
        <x:v>3.5</x:v>
      </x:c>
      <x:c r="D35" s="24" t="n">
        <x:v>1</x:v>
      </x:c>
      <x:c r="E35" s="32" t="n">
        <x:v>5.78</x:v>
      </x:c>
      <x:c r="F35" s="32" t="n">
        <x:v>160</x:v>
      </x:c>
      <x:c r="G35" s="32" t="n">
        <x:v>69</x:v>
      </x:c>
      <x:c r="H35" s="32" t="n">
        <x:f>D35*(F35+G35)</x:f>
        <x:v>229</x:v>
      </x:c>
      <x:c r="I35" s="24" t="str">
        <x:v>АС.2 л.24; 01-2024/ИЯИ-АС.2 «изм от03.07.26», л.20; 30 по штампу</x:v>
      </x:c>
      <x:c r="J35" s="24" t="str">
        <x:v>Масса229 кг — только швеллер+уголок. Ø6, сварка и покрытия не включены.</x:v>
      </x:c>
    </x:row>
    <x:row r="36" ht="36" customHeight="1">
      <x:c r="A36" s="24" t="str">
        <x:v>F2_MU21_B1a</x:v>
      </x:c>
      <x:c r="B36" s="24" t="str">
        <x:v>F2_MU21</x:v>
      </x:c>
      <x:c r="C36" s="28" t="n">
        <x:v>3.5</x:v>
      </x:c>
      <x:c r="D36" s="24" t="n">
        <x:v>1</x:v>
      </x:c>
      <x:c r="E36" s="32" t="n">
        <x:v>5.78</x:v>
      </x:c>
      <x:c r="F36" s="32" t="n">
        <x:v>160</x:v>
      </x:c>
      <x:c r="G36" s="32" t="n">
        <x:v>69</x:v>
      </x:c>
      <x:c r="H36" s="32" t="n">
        <x:f>D36*(F36+G36)</x:f>
        <x:v>229</x:v>
      </x:c>
      <x:c r="I36" s="24" t="str">
        <x:v>АС.2 л.24; 01-2024/ИЯИ-АС.2 «изм от03.07.26», л.20; 31 по штампу</x:v>
      </x:c>
      <x:c r="J36" s="24" t="str">
        <x:v>Масса229 кг — только швеллер+уголок. Ø6, сварка и покрытия не включены.</x:v>
      </x:c>
    </x:row>
    <x:row r="37" ht="36" customHeight="1">
      <x:c r="A37" s="24" t="str">
        <x:v>F2_MU21_B1b</x:v>
      </x:c>
      <x:c r="B37" s="24" t="str">
        <x:v>F2_MU21</x:v>
      </x:c>
      <x:c r="C37" s="28" t="n">
        <x:v>3.5</x:v>
      </x:c>
      <x:c r="D37" s="24" t="n">
        <x:v>1</x:v>
      </x:c>
      <x:c r="E37" s="32" t="n">
        <x:v>5.78</x:v>
      </x:c>
      <x:c r="F37" s="32" t="n">
        <x:v>160</x:v>
      </x:c>
      <x:c r="G37" s="32" t="n">
        <x:v>69</x:v>
      </x:c>
      <x:c r="H37" s="32" t="n">
        <x:f>D37*(F37+G37)</x:f>
        <x:v>229</x:v>
      </x:c>
      <x:c r="I37" s="24" t="str">
        <x:v>АС.2 л.24; 01-2024/ИЯИ-АС.2 «изм от03.07.26», л.20; 31 по штампу</x:v>
      </x:c>
      <x:c r="J37" s="24" t="str">
        <x:v>Масса229 кг — только швеллер+уголок. Ø6, сварка и покрытия не включены.</x:v>
      </x:c>
    </x:row>
    <x:row r="38" ht="36" customHeight="1">
      <x:c r="A38" s="24" t="str">
        <x:v>F2_MU23_B1a</x:v>
      </x:c>
      <x:c r="B38" s="24" t="str">
        <x:v>F2_MU23</x:v>
      </x:c>
      <x:c r="C38" s="28" t="n">
        <x:v>4.7</x:v>
      </x:c>
      <x:c r="D38" s="24" t="n">
        <x:v>1</x:v>
      </x:c>
      <x:c r="E38" s="32" t="n">
        <x:v>5.78</x:v>
      </x:c>
      <x:c r="F38" s="32" t="n">
        <x:v>160</x:v>
      </x:c>
      <x:c r="G38" s="32" t="n">
        <x:v>69</x:v>
      </x:c>
      <x:c r="H38" s="32" t="n">
        <x:f>D38*(F38+G38)</x:f>
        <x:v>229</x:v>
      </x:c>
      <x:c r="I38" s="24" t="str">
        <x:v>АС.2 л.24; 01-2024/ИЯИ-АС.2 «изм от03.07.26», л.20; 32 по штампу</x:v>
      </x:c>
      <x:c r="J38" s="24" t="str">
        <x:v>Масса229 кг — только швеллер+уголок. Ø6, сварка и покрытия не включены.</x:v>
      </x:c>
    </x:row>
    <x:row r="39" ht="36" customHeight="1">
      <x:c r="A39" s="24" t="str">
        <x:v>F2_MU23_B1b</x:v>
      </x:c>
      <x:c r="B39" s="24" t="str">
        <x:v>F2_MU23</x:v>
      </x:c>
      <x:c r="C39" s="28" t="n">
        <x:v>4.7</x:v>
      </x:c>
      <x:c r="D39" s="24" t="n">
        <x:v>1</x:v>
      </x:c>
      <x:c r="E39" s="32" t="n">
        <x:v>5.78</x:v>
      </x:c>
      <x:c r="F39" s="32" t="n">
        <x:v>160</x:v>
      </x:c>
      <x:c r="G39" s="32" t="n">
        <x:v>69</x:v>
      </x:c>
      <x:c r="H39" s="32" t="n">
        <x:f>D39*(F39+G39)</x:f>
        <x:v>229</x:v>
      </x:c>
      <x:c r="I39" s="24" t="str">
        <x:v>АС.2 л.24; 01-2024/ИЯИ-АС.2 «изм от03.07.26», л.20; 32 по штампу</x:v>
      </x:c>
      <x:c r="J39" s="24" t="str">
        <x:v>Масса229 кг — только швеллер+уголок. Ø6, сварка и покрытия не включены.</x:v>
      </x:c>
    </x:row>
    <x:row r="40" ht="36" customHeight="1">
      <x:c r="A40" s="24" t="str">
        <x:v>F3_MU4_B1a</x:v>
      </x:c>
      <x:c r="B40" s="24" t="str">
        <x:v>F3_MU4</x:v>
      </x:c>
      <x:c r="C40" s="28" t="n">
        <x:v>7.1</x:v>
      </x:c>
      <x:c r="D40" s="24" t="n">
        <x:v>1</x:v>
      </x:c>
      <x:c r="E40" s="32" t="n">
        <x:v>5.78</x:v>
      </x:c>
      <x:c r="F40" s="32" t="n">
        <x:v>160</x:v>
      </x:c>
      <x:c r="G40" s="32" t="n">
        <x:v>69</x:v>
      </x:c>
      <x:c r="H40" s="32" t="n">
        <x:f>D40*(F40+G40)</x:f>
        <x:v>229</x:v>
      </x:c>
      <x:c r="I40" s="24" t="str">
        <x:v>АС.2 л.24; 01-2024/ИЯИ-АС.2 «изм от03.07.26», л.21; 24 по штампу</x:v>
      </x:c>
      <x:c r="J40" s="24" t="str">
        <x:v>Масса229 кг — только швеллер+уголок. Ø6, сварка и покрытия не включены.</x:v>
      </x:c>
    </x:row>
    <x:row r="41" ht="36" customHeight="1">
      <x:c r="A41" s="24" t="str">
        <x:v>F3_MU4_B1b</x:v>
      </x:c>
      <x:c r="B41" s="24" t="str">
        <x:v>F3_MU4</x:v>
      </x:c>
      <x:c r="C41" s="28" t="n">
        <x:v>7.1</x:v>
      </x:c>
      <x:c r="D41" s="24" t="n">
        <x:v>1</x:v>
      </x:c>
      <x:c r="E41" s="32" t="n">
        <x:v>5.78</x:v>
      </x:c>
      <x:c r="F41" s="32" t="n">
        <x:v>160</x:v>
      </x:c>
      <x:c r="G41" s="32" t="n">
        <x:v>69</x:v>
      </x:c>
      <x:c r="H41" s="32" t="n">
        <x:f>D41*(F41+G41)</x:f>
        <x:v>229</x:v>
      </x:c>
      <x:c r="I41" s="24" t="str">
        <x:v>АС.2 л.24; 01-2024/ИЯИ-АС.2 «изм от03.07.26», л.21; 24 по штампу</x:v>
      </x:c>
      <x:c r="J41" s="24" t="str">
        <x:v>Масса229 кг — только швеллер+уголок. Ø6, сварка и покрытия не включены.</x:v>
      </x:c>
    </x:row>
    <x:row r="42" ht="36" customHeight="1">
      <x:c r="A42" s="24" t="str">
        <x:v>F3_MU24_B1a</x:v>
      </x:c>
      <x:c r="B42" s="24" t="str">
        <x:v>F3_MU24</x:v>
      </x:c>
      <x:c r="C42" s="28" t="n">
        <x:v>7.1</x:v>
      </x:c>
      <x:c r="D42" s="24" t="n">
        <x:v>1</x:v>
      </x:c>
      <x:c r="E42" s="32" t="n">
        <x:v>5.78</x:v>
      </x:c>
      <x:c r="F42" s="32" t="n">
        <x:v>160</x:v>
      </x:c>
      <x:c r="G42" s="32" t="n">
        <x:v>69</x:v>
      </x:c>
      <x:c r="H42" s="32" t="n">
        <x:f>D42*(F42+G42)</x:f>
        <x:v>229</x:v>
      </x:c>
      <x:c r="I42" s="24" t="str">
        <x:v>АС.2 л.24; 01-2024/ИЯИ-АС.2 «изм от03.07.26», л.21; 32 по штампу</x:v>
      </x:c>
      <x:c r="J42" s="24" t="str">
        <x:v>Масса229 кг — только швеллер+уголок. Ø6, сварка и покрытия не включены.</x:v>
      </x:c>
    </x:row>
    <x:row r="43" ht="36" customHeight="1">
      <x:c r="A43" s="24" t="str">
        <x:v>F3_MU24_B1b</x:v>
      </x:c>
      <x:c r="B43" s="24" t="str">
        <x:v>F3_MU24</x:v>
      </x:c>
      <x:c r="C43" s="28" t="n">
        <x:v>7.1</x:v>
      </x:c>
      <x:c r="D43" s="24" t="n">
        <x:v>1</x:v>
      </x:c>
      <x:c r="E43" s="32" t="n">
        <x:v>5.78</x:v>
      </x:c>
      <x:c r="F43" s="32" t="n">
        <x:v>160</x:v>
      </x:c>
      <x:c r="G43" s="32" t="n">
        <x:v>69</x:v>
      </x:c>
      <x:c r="H43" s="32" t="n">
        <x:f>D43*(F43+G43)</x:f>
        <x:v>229</x:v>
      </x:c>
      <x:c r="I43" s="24" t="str">
        <x:v>АС.2 л.24; 01-2024/ИЯИ-АС.2 «изм от03.07.26», л.21; 32 по штампу</x:v>
      </x:c>
      <x:c r="J43" s="24" t="str">
        <x:v>Масса229 кг — только швеллер+уголок. Ø6, сварка и покрытия не включены.</x:v>
      </x:c>
    </x:row>
    <x:row r="44" ht="36" customHeight="1">
      <x:c r="A44" s="24" t="str">
        <x:v>F3_MU25_B1a</x:v>
      </x:c>
      <x:c r="B44" s="24" t="str">
        <x:v>F3_MU25</x:v>
      </x:c>
      <x:c r="C44" s="28" t="n">
        <x:v>7.1</x:v>
      </x:c>
      <x:c r="D44" s="24" t="n">
        <x:v>1</x:v>
      </x:c>
      <x:c r="E44" s="32" t="n">
        <x:v>5.78</x:v>
      </x:c>
      <x:c r="F44" s="32" t="n">
        <x:v>160</x:v>
      </x:c>
      <x:c r="G44" s="32" t="n">
        <x:v>69</x:v>
      </x:c>
      <x:c r="H44" s="32" t="n">
        <x:f>D44*(F44+G44)</x:f>
        <x:v>229</x:v>
      </x:c>
      <x:c r="I44" s="24" t="str">
        <x:v>АС.2 л.24; 01-2024/ИЯИ-АС.2 «изм от03.07.26», л.21; 33 по штампу</x:v>
      </x:c>
      <x:c r="J44" s="24" t="str">
        <x:v>Масса229 кг — только швеллер+уголок. Ø6, сварка и покрытия не включены.</x:v>
      </x:c>
    </x:row>
    <x:row r="45" ht="36" customHeight="1">
      <x:c r="A45" s="24" t="str">
        <x:v>F3_MU25_B1b</x:v>
      </x:c>
      <x:c r="B45" s="24" t="str">
        <x:v>F3_MU25</x:v>
      </x:c>
      <x:c r="C45" s="28" t="n">
        <x:v>7.1</x:v>
      </x:c>
      <x:c r="D45" s="24" t="n">
        <x:v>1</x:v>
      </x:c>
      <x:c r="E45" s="32" t="n">
        <x:v>5.78</x:v>
      </x:c>
      <x:c r="F45" s="32" t="n">
        <x:v>160</x:v>
      </x:c>
      <x:c r="G45" s="32" t="n">
        <x:v>69</x:v>
      </x:c>
      <x:c r="H45" s="32" t="n">
        <x:f>D45*(F45+G45)</x:f>
        <x:v>229</x:v>
      </x:c>
      <x:c r="I45" s="24" t="str">
        <x:v>АС.2 л.24; 01-2024/ИЯИ-АС.2 «изм от03.07.26», л.21; 33 по штампу</x:v>
      </x:c>
      <x:c r="J45" s="24" t="str">
        <x:v>Масса229 кг — только швеллер+уголок. Ø6, сварка и покрытия не включены.</x:v>
      </x:c>
    </x:row>
    <x:row r="46" ht="36" customHeight="1">
      <x:c r="A46" s="24" t="str">
        <x:v>F3_MU6_B1a</x:v>
      </x:c>
      <x:c r="B46" s="24" t="str">
        <x:v>F3_MU6</x:v>
      </x:c>
      <x:c r="C46" s="28" t="n">
        <x:v>7.1</x:v>
      </x:c>
      <x:c r="D46" s="24" t="n">
        <x:v>1</x:v>
      </x:c>
      <x:c r="E46" s="32" t="n">
        <x:v>5.78</x:v>
      </x:c>
      <x:c r="F46" s="32" t="n">
        <x:v>160</x:v>
      </x:c>
      <x:c r="G46" s="32" t="n">
        <x:v>69</x:v>
      </x:c>
      <x:c r="H46" s="32" t="n">
        <x:f>D46*(F46+G46)</x:f>
        <x:v>229</x:v>
      </x:c>
      <x:c r="I46" s="24" t="str">
        <x:v>АС.2 л.24; 01-2024/ИЯИ-АС.2 «изм от03.07.26», л.21; 25 по штампу</x:v>
      </x:c>
      <x:c r="J46" s="24" t="str">
        <x:v>Масса229 кг — только швеллер+уголок. Ø6, сварка и покрытия не включены.</x:v>
      </x:c>
    </x:row>
    <x:row r="47" ht="36" customHeight="1">
      <x:c r="A47" s="24" t="str">
        <x:v>F3_MU6_B1b</x:v>
      </x:c>
      <x:c r="B47" s="24" t="str">
        <x:v>F3_MU6</x:v>
      </x:c>
      <x:c r="C47" s="28" t="n">
        <x:v>7.1</x:v>
      </x:c>
      <x:c r="D47" s="24" t="n">
        <x:v>1</x:v>
      </x:c>
      <x:c r="E47" s="32" t="n">
        <x:v>5.78</x:v>
      </x:c>
      <x:c r="F47" s="32" t="n">
        <x:v>160</x:v>
      </x:c>
      <x:c r="G47" s="32" t="n">
        <x:v>69</x:v>
      </x:c>
      <x:c r="H47" s="32" t="n">
        <x:f>D47*(F47+G47)</x:f>
        <x:v>229</x:v>
      </x:c>
      <x:c r="I47" s="24" t="str">
        <x:v>АС.2 л.24; 01-2024/ИЯИ-АС.2 «изм от03.07.26», л.21; 25 по штампу</x:v>
      </x:c>
      <x:c r="J47" s="24" t="str">
        <x:v>Масса229 кг — только швеллер+уголок. Ø6, сварка и покрытия не включены.</x:v>
      </x:c>
    </x:row>
    <x:row r="48" ht="36" customHeight="1">
      <x:c r="A48" s="24" t="str">
        <x:v>F3_MU7_B1a</x:v>
      </x:c>
      <x:c r="B48" s="24" t="str">
        <x:v>F3_MU7</x:v>
      </x:c>
      <x:c r="C48" s="28" t="n">
        <x:v>7.1</x:v>
      </x:c>
      <x:c r="D48" s="24" t="n">
        <x:v>1</x:v>
      </x:c>
      <x:c r="E48" s="32" t="n">
        <x:v>5.78</x:v>
      </x:c>
      <x:c r="F48" s="32" t="n">
        <x:v>160</x:v>
      </x:c>
      <x:c r="G48" s="32" t="n">
        <x:v>69</x:v>
      </x:c>
      <x:c r="H48" s="32" t="n">
        <x:f>D48*(F48+G48)</x:f>
        <x:v>229</x:v>
      </x:c>
      <x:c r="I48" s="24" t="str">
        <x:v>АС.2 л.24; 01-2024/ИЯИ-АС.2 «изм от03.07.26», л.21; 25 по штампу</x:v>
      </x:c>
      <x:c r="J48" s="24" t="str">
        <x:v>Масса229 кг — только швеллер+уголок. Ø6, сварка и покрытия не включены.</x:v>
      </x:c>
    </x:row>
    <x:row r="49" ht="36" customHeight="1">
      <x:c r="A49" s="24" t="str">
        <x:v>F3_MU7_B1b</x:v>
      </x:c>
      <x:c r="B49" s="24" t="str">
        <x:v>F3_MU7</x:v>
      </x:c>
      <x:c r="C49" s="28" t="n">
        <x:v>7.1</x:v>
      </x:c>
      <x:c r="D49" s="24" t="n">
        <x:v>1</x:v>
      </x:c>
      <x:c r="E49" s="32" t="n">
        <x:v>5.78</x:v>
      </x:c>
      <x:c r="F49" s="32" t="n">
        <x:v>160</x:v>
      </x:c>
      <x:c r="G49" s="32" t="n">
        <x:v>69</x:v>
      </x:c>
      <x:c r="H49" s="32" t="n">
        <x:f>D49*(F49+G49)</x:f>
        <x:v>229</x:v>
      </x:c>
      <x:c r="I49" s="24" t="str">
        <x:v>АС.2 л.24; 01-2024/ИЯИ-АС.2 «изм от03.07.26», л.21; 25 по штампу</x:v>
      </x:c>
      <x:c r="J49" s="24" t="str">
        <x:v>Масса229 кг — только швеллер+уголок. Ø6, сварка и покрытия не включены.</x:v>
      </x:c>
    </x:row>
    <x:row r="50" ht="36" customHeight="1">
      <x:c r="A50" s="24" t="str">
        <x:v>F3_MU10a_B1a</x:v>
      </x:c>
      <x:c r="B50" s="24" t="str">
        <x:v>F3_MU10a</x:v>
      </x:c>
      <x:c r="C50" s="28" t="n">
        <x:v>7.1</x:v>
      </x:c>
      <x:c r="D50" s="24" t="n">
        <x:v>1</x:v>
      </x:c>
      <x:c r="E50" s="32" t="n">
        <x:v>5.78</x:v>
      </x:c>
      <x:c r="F50" s="32" t="n">
        <x:v>160</x:v>
      </x:c>
      <x:c r="G50" s="32" t="n">
        <x:v>69</x:v>
      </x:c>
      <x:c r="H50" s="32" t="n">
        <x:f>D50*(F50+G50)</x:f>
        <x:v>229</x:v>
      </x:c>
      <x:c r="I50" s="24" t="str">
        <x:v>АС.2 л.24; 01-2024/ИЯИ-АС.2 «изм от03.07.26», л.21; 26 по штампу</x:v>
      </x:c>
      <x:c r="J50" s="24" t="str">
        <x:v>Масса229 кг — только швеллер+уголок. Ø6, сварка и покрытия не включены.</x:v>
      </x:c>
    </x:row>
    <x:row r="51" ht="36" customHeight="1">
      <x:c r="A51" s="24" t="str">
        <x:v>F3_MU10a_B1b</x:v>
      </x:c>
      <x:c r="B51" s="24" t="str">
        <x:v>F3_MU10a</x:v>
      </x:c>
      <x:c r="C51" s="28" t="n">
        <x:v>7.1</x:v>
      </x:c>
      <x:c r="D51" s="24" t="n">
        <x:v>1</x:v>
      </x:c>
      <x:c r="E51" s="32" t="n">
        <x:v>5.78</x:v>
      </x:c>
      <x:c r="F51" s="32" t="n">
        <x:v>160</x:v>
      </x:c>
      <x:c r="G51" s="32" t="n">
        <x:v>69</x:v>
      </x:c>
      <x:c r="H51" s="32" t="n">
        <x:f>D51*(F51+G51)</x:f>
        <x:v>229</x:v>
      </x:c>
      <x:c r="I51" s="24" t="str">
        <x:v>АС.2 л.24; 01-2024/ИЯИ-АС.2 «изм от03.07.26», л.21; 26 по штампу</x:v>
      </x:c>
      <x:c r="J51" s="24" t="str">
        <x:v>Масса229 кг — только швеллер+уголок. Ø6, сварка и покрытия не включены.</x:v>
      </x:c>
    </x:row>
    <x:row r="52" ht="36" customHeight="1">
      <x:c r="A52" s="24" t="str">
        <x:v>F3_MU10b_B1a</x:v>
      </x:c>
      <x:c r="B52" s="24" t="str">
        <x:v>F3_MU10b</x:v>
      </x:c>
      <x:c r="C52" s="28" t="n">
        <x:v>7.1</x:v>
      </x:c>
      <x:c r="D52" s="24" t="n">
        <x:v>1</x:v>
      </x:c>
      <x:c r="E52" s="32" t="n">
        <x:v>5.78</x:v>
      </x:c>
      <x:c r="F52" s="32" t="n">
        <x:v>160</x:v>
      </x:c>
      <x:c r="G52" s="32" t="n">
        <x:v>69</x:v>
      </x:c>
      <x:c r="H52" s="32" t="n">
        <x:f>D52*(F52+G52)</x:f>
        <x:v>229</x:v>
      </x:c>
      <x:c r="I52" s="24" t="str">
        <x:v>АС.2 л.24; 01-2024/ИЯИ-АС.2 «изм от03.07.26», л.21; 26 по штампу</x:v>
      </x:c>
      <x:c r="J52" s="24" t="str">
        <x:v>Масса229 кг — только швеллер+уголок. Ø6, сварка и покрытия не включены.</x:v>
      </x:c>
    </x:row>
    <x:row r="53" ht="36" customHeight="1">
      <x:c r="A53" s="24" t="str">
        <x:v>F3_MU10b_B1b</x:v>
      </x:c>
      <x:c r="B53" s="24" t="str">
        <x:v>F3_MU10b</x:v>
      </x:c>
      <x:c r="C53" s="28" t="n">
        <x:v>7.1</x:v>
      </x:c>
      <x:c r="D53" s="24" t="n">
        <x:v>1</x:v>
      </x:c>
      <x:c r="E53" s="32" t="n">
        <x:v>5.78</x:v>
      </x:c>
      <x:c r="F53" s="32" t="n">
        <x:v>160</x:v>
      </x:c>
      <x:c r="G53" s="32" t="n">
        <x:v>69</x:v>
      </x:c>
      <x:c r="H53" s="32" t="n">
        <x:f>D53*(F53+G53)</x:f>
        <x:v>229</x:v>
      </x:c>
      <x:c r="I53" s="24" t="str">
        <x:v>АС.2 л.24; 01-2024/ИЯИ-АС.2 «изм от03.07.26», л.21; 26 по штампу</x:v>
      </x:c>
      <x:c r="J53" s="24" t="str">
        <x:v>Масса229 кг — только швеллер+уголок. Ø6, сварка и покрытия не включены.</x:v>
      </x:c>
    </x:row>
    <x:row r="54" ht="36" customHeight="1">
      <x:c r="A54" s="24" t="str">
        <x:v>F3_MU28_B1a</x:v>
      </x:c>
      <x:c r="B54" s="24" t="str">
        <x:v>F3_MU28</x:v>
      </x:c>
      <x:c r="C54" s="28" t="n">
        <x:v>7.1</x:v>
      </x:c>
      <x:c r="D54" s="24" t="n">
        <x:v>1</x:v>
      </x:c>
      <x:c r="E54" s="32" t="n">
        <x:v>5.78</x:v>
      </x:c>
      <x:c r="F54" s="32" t="n">
        <x:v>160</x:v>
      </x:c>
      <x:c r="G54" s="32" t="n">
        <x:v>69</x:v>
      </x:c>
      <x:c r="H54" s="32" t="n">
        <x:f>D54*(F54+G54)</x:f>
        <x:v>229</x:v>
      </x:c>
      <x:c r="I54" s="24" t="str">
        <x:v>АС.2 л.24; 01-2024/ИЯИ-АС.2 «изм от03.07.26», л.21; 34 по штампу</x:v>
      </x:c>
      <x:c r="J54" s="24" t="str">
        <x:v>Масса229 кг — только швеллер+уголок. Ø6, сварка и покрытия не включены.</x:v>
      </x:c>
    </x:row>
    <x:row r="55" ht="36" customHeight="1">
      <x:c r="A55" s="24" t="str">
        <x:v>F3_MU28_B1b</x:v>
      </x:c>
      <x:c r="B55" s="24" t="str">
        <x:v>F3_MU28</x:v>
      </x:c>
      <x:c r="C55" s="28" t="n">
        <x:v>7.1</x:v>
      </x:c>
      <x:c r="D55" s="24" t="n">
        <x:v>1</x:v>
      </x:c>
      <x:c r="E55" s="32" t="n">
        <x:v>5.78</x:v>
      </x:c>
      <x:c r="F55" s="32" t="n">
        <x:v>160</x:v>
      </x:c>
      <x:c r="G55" s="32" t="n">
        <x:v>69</x:v>
      </x:c>
      <x:c r="H55" s="32" t="n">
        <x:f>D55*(F55+G55)</x:f>
        <x:v>229</x:v>
      </x:c>
      <x:c r="I55" s="24" t="str">
        <x:v>АС.2 л.24; 01-2024/ИЯИ-АС.2 «изм от03.07.26», л.21; 34 по штампу</x:v>
      </x:c>
      <x:c r="J55" s="24" t="str">
        <x:v>Масса229 кг — только швеллер+уголок. Ø6, сварка и покрытия не включены.</x:v>
      </x:c>
    </x:row>
    <x:row r="56" ht="36" customHeight="1">
      <x:c r="A56" s="24" t="str">
        <x:v>F3_MU29_B1a</x:v>
      </x:c>
      <x:c r="B56" s="24" t="str">
        <x:v>F3_MU29</x:v>
      </x:c>
      <x:c r="C56" s="28" t="n">
        <x:v>7.1</x:v>
      </x:c>
      <x:c r="D56" s="24" t="n">
        <x:v>1</x:v>
      </x:c>
      <x:c r="E56" s="32" t="n">
        <x:v>5.78</x:v>
      </x:c>
      <x:c r="F56" s="32" t="n">
        <x:v>160</x:v>
      </x:c>
      <x:c r="G56" s="32" t="n">
        <x:v>69</x:v>
      </x:c>
      <x:c r="H56" s="32" t="n">
        <x:f>D56*(F56+G56)</x:f>
        <x:v>229</x:v>
      </x:c>
      <x:c r="I56" s="24" t="str">
        <x:v>АС.2 л.24; 01-2024/ИЯИ-АС.2 «изм от03.07.26», л.21; 34 по штампу</x:v>
      </x:c>
      <x:c r="J56" s="24" t="str">
        <x:v>Масса229 кг — только швеллер+уголок. Ø6, сварка и покрытия не включены.</x:v>
      </x:c>
    </x:row>
    <x:row r="57" ht="36" customHeight="1">
      <x:c r="A57" s="24" t="str">
        <x:v>F3_MU29_B1b</x:v>
      </x:c>
      <x:c r="B57" s="24" t="str">
        <x:v>F3_MU29</x:v>
      </x:c>
      <x:c r="C57" s="28" t="n">
        <x:v>7.1</x:v>
      </x:c>
      <x:c r="D57" s="24" t="n">
        <x:v>1</x:v>
      </x:c>
      <x:c r="E57" s="32" t="n">
        <x:v>5.78</x:v>
      </x:c>
      <x:c r="F57" s="32" t="n">
        <x:v>160</x:v>
      </x:c>
      <x:c r="G57" s="32" t="n">
        <x:v>69</x:v>
      </x:c>
      <x:c r="H57" s="32" t="n">
        <x:f>D57*(F57+G57)</x:f>
        <x:v>229</x:v>
      </x:c>
      <x:c r="I57" s="24" t="str">
        <x:v>АС.2 л.24; 01-2024/ИЯИ-АС.2 «изм от03.07.26», л.21; 34 по штампу</x:v>
      </x:c>
      <x:c r="J57" s="24" t="str">
        <x:v>Масса229 кг — только швеллер+уголок. Ø6, сварка и покрытия не включены.</x:v>
      </x:c>
    </x:row>
    <x:row r="58" ht="36" customHeight="1">
      <x:c r="A58" s="24" t="str">
        <x:v>F3_MU30_B1a</x:v>
      </x:c>
      <x:c r="B58" s="24" t="str">
        <x:v>F3_MU30</x:v>
      </x:c>
      <x:c r="C58" s="28" t="n">
        <x:v>7.1</x:v>
      </x:c>
      <x:c r="D58" s="24" t="n">
        <x:v>1</x:v>
      </x:c>
      <x:c r="E58" s="32" t="n">
        <x:v>5.78</x:v>
      </x:c>
      <x:c r="F58" s="32" t="n">
        <x:v>160</x:v>
      </x:c>
      <x:c r="G58" s="32" t="n">
        <x:v>69</x:v>
      </x:c>
      <x:c r="H58" s="32" t="n">
        <x:f>D58*(F58+G58)</x:f>
        <x:v>229</x:v>
      </x:c>
      <x:c r="I58" s="24" t="str">
        <x:v>АС.2 л.24; 01-2024/ИЯИ-АС.2 «изм от03.07.26», л.21; 35 по штампу</x:v>
      </x:c>
      <x:c r="J58" s="24" t="str">
        <x:v>Масса229 кг — только швеллер+уголок. Ø6, сварка и покрытия не включены.</x:v>
      </x:c>
    </x:row>
    <x:row r="59" ht="36" customHeight="1">
      <x:c r="A59" s="24" t="str">
        <x:v>F3_MU30_B1b</x:v>
      </x:c>
      <x:c r="B59" s="24" t="str">
        <x:v>F3_MU30</x:v>
      </x:c>
      <x:c r="C59" s="28" t="n">
        <x:v>7.1</x:v>
      </x:c>
      <x:c r="D59" s="24" t="n">
        <x:v>1</x:v>
      </x:c>
      <x:c r="E59" s="32" t="n">
        <x:v>5.78</x:v>
      </x:c>
      <x:c r="F59" s="32" t="n">
        <x:v>160</x:v>
      </x:c>
      <x:c r="G59" s="32" t="n">
        <x:v>69</x:v>
      </x:c>
      <x:c r="H59" s="32" t="n">
        <x:f>D59*(F59+G59)</x:f>
        <x:v>229</x:v>
      </x:c>
      <x:c r="I59" s="24" t="str">
        <x:v>АС.2 л.24; 01-2024/ИЯИ-АС.2 «изм от03.07.26», л.21; 35 по штампу</x:v>
      </x:c>
      <x:c r="J59" s="24" t="str">
        <x:v>Масса229 кг — только швеллер+уголок. Ø6, сварка и покрытия не включены.</x:v>
      </x:c>
    </x:row>
    <x:row r="60" ht="36" customHeight="1">
      <x:c r="A60" s="24" t="str">
        <x:v>F3_MU14_B1a</x:v>
      </x:c>
      <x:c r="B60" s="24" t="str">
        <x:v>F3_MU14</x:v>
      </x:c>
      <x:c r="C60" s="28" t="n">
        <x:v>7.1</x:v>
      </x:c>
      <x:c r="D60" s="24" t="n">
        <x:v>1</x:v>
      </x:c>
      <x:c r="E60" s="32" t="n">
        <x:v>5.78</x:v>
      </x:c>
      <x:c r="F60" s="32" t="n">
        <x:v>160</x:v>
      </x:c>
      <x:c r="G60" s="32" t="n">
        <x:v>69</x:v>
      </x:c>
      <x:c r="H60" s="32" t="n">
        <x:f>D60*(F60+G60)</x:f>
        <x:v>229</x:v>
      </x:c>
      <x:c r="I60" s="24" t="str">
        <x:v>АС.2 л.24; 01-2024/ИЯИ-АС.2 «изм от03.07.26», л.21; 28 по штампу</x:v>
      </x:c>
      <x:c r="J60" s="24" t="str">
        <x:v>Масса229 кг — только швеллер+уголок. Ø6, сварка и покрытия не включены.</x:v>
      </x:c>
    </x:row>
    <x:row r="61" ht="36" customHeight="1">
      <x:c r="A61" s="24" t="str">
        <x:v>F3_MU14_B1b</x:v>
      </x:c>
      <x:c r="B61" s="24" t="str">
        <x:v>F3_MU14</x:v>
      </x:c>
      <x:c r="C61" s="28" t="n">
        <x:v>7.1</x:v>
      </x:c>
      <x:c r="D61" s="24" t="n">
        <x:v>1</x:v>
      </x:c>
      <x:c r="E61" s="32" t="n">
        <x:v>5.78</x:v>
      </x:c>
      <x:c r="F61" s="32" t="n">
        <x:v>160</x:v>
      </x:c>
      <x:c r="G61" s="32" t="n">
        <x:v>69</x:v>
      </x:c>
      <x:c r="H61" s="32" t="n">
        <x:f>D61*(F61+G61)</x:f>
        <x:v>229</x:v>
      </x:c>
      <x:c r="I61" s="24" t="str">
        <x:v>АС.2 л.24; 01-2024/ИЯИ-АС.2 «изм от03.07.26», л.21; 28 по штампу</x:v>
      </x:c>
      <x:c r="J61" s="24" t="str">
        <x:v>Масса229 кг — только швеллер+уголок. Ø6, сварка и покрытия не включены.</x:v>
      </x:c>
    </x:row>
    <x:row r="62" ht="36" customHeight="1">
      <x:c r="A62" s="24" t="str">
        <x:v>F3_MU16_B1a</x:v>
      </x:c>
      <x:c r="B62" s="24" t="str">
        <x:v>F3_MU16</x:v>
      </x:c>
      <x:c r="C62" s="28" t="n">
        <x:v>7.1</x:v>
      </x:c>
      <x:c r="D62" s="24" t="n">
        <x:v>1</x:v>
      </x:c>
      <x:c r="E62" s="32" t="n">
        <x:v>5.78</x:v>
      </x:c>
      <x:c r="F62" s="32" t="n">
        <x:v>160</x:v>
      </x:c>
      <x:c r="G62" s="32" t="n">
        <x:v>69</x:v>
      </x:c>
      <x:c r="H62" s="32" t="n">
        <x:f>D62*(F62+G62)</x:f>
        <x:v>229</x:v>
      </x:c>
      <x:c r="I62" s="24" t="str">
        <x:v>АС.2 л.24; 01-2024/ИЯИ-АС.2 «изм от03.07.26», л.21; 29 по штампу</x:v>
      </x:c>
      <x:c r="J62" s="24" t="str">
        <x:v>Масса229 кг — только швеллер+уголок. Ø6, сварка и покрытия не включены.</x:v>
      </x:c>
    </x:row>
    <x:row r="63" ht="36" customHeight="1">
      <x:c r="A63" s="24" t="str">
        <x:v>F3_MU16_B1b</x:v>
      </x:c>
      <x:c r="B63" s="24" t="str">
        <x:v>F3_MU16</x:v>
      </x:c>
      <x:c r="C63" s="28" t="n">
        <x:v>7.1</x:v>
      </x:c>
      <x:c r="D63" s="24" t="n">
        <x:v>1</x:v>
      </x:c>
      <x:c r="E63" s="32" t="n">
        <x:v>5.78</x:v>
      </x:c>
      <x:c r="F63" s="32" t="n">
        <x:v>160</x:v>
      </x:c>
      <x:c r="G63" s="32" t="n">
        <x:v>69</x:v>
      </x:c>
      <x:c r="H63" s="32" t="n">
        <x:f>D63*(F63+G63)</x:f>
        <x:v>229</x:v>
      </x:c>
      <x:c r="I63" s="24" t="str">
        <x:v>АС.2 л.24; 01-2024/ИЯИ-АС.2 «изм от03.07.26», л.21; 29 по штампу</x:v>
      </x:c>
      <x:c r="J63" s="24" t="str">
        <x:v>Масса229 кг — только швеллер+уголок. Ø6, сварка и покрытия не включены.</x:v>
      </x:c>
    </x:row>
    <x:row r="64" ht="36" customHeight="1">
      <x:c r="A64" s="24" t="str">
        <x:v>F3_MU17_B1a</x:v>
      </x:c>
      <x:c r="B64" s="24" t="str">
        <x:v>F3_MU17</x:v>
      </x:c>
      <x:c r="C64" s="28" t="n">
        <x:v>7.1</x:v>
      </x:c>
      <x:c r="D64" s="24" t="n">
        <x:v>1</x:v>
      </x:c>
      <x:c r="E64" s="32" t="n">
        <x:v>5.78</x:v>
      </x:c>
      <x:c r="F64" s="32" t="n">
        <x:v>160</x:v>
      </x:c>
      <x:c r="G64" s="32" t="n">
        <x:v>69</x:v>
      </x:c>
      <x:c r="H64" s="32" t="n">
        <x:f>D64*(F64+G64)</x:f>
        <x:v>229</x:v>
      </x:c>
      <x:c r="I64" s="24" t="str">
        <x:v>АС.2 л.24; 01-2024/ИЯИ-АС.2 «изм от03.07.26», л.21; 29 по штампу</x:v>
      </x:c>
      <x:c r="J64" s="24" t="str">
        <x:v>Масса229 кг — только швеллер+уголок. Ø6, сварка и покрытия не включены.</x:v>
      </x:c>
    </x:row>
    <x:row r="65" ht="36" customHeight="1">
      <x:c r="A65" s="24" t="str">
        <x:v>F3_MU17_B1b</x:v>
      </x:c>
      <x:c r="B65" s="24" t="str">
        <x:v>F3_MU17</x:v>
      </x:c>
      <x:c r="C65" s="28" t="n">
        <x:v>7.1</x:v>
      </x:c>
      <x:c r="D65" s="24" t="n">
        <x:v>1</x:v>
      </x:c>
      <x:c r="E65" s="32" t="n">
        <x:v>5.78</x:v>
      </x:c>
      <x:c r="F65" s="32" t="n">
        <x:v>160</x:v>
      </x:c>
      <x:c r="G65" s="32" t="n">
        <x:v>69</x:v>
      </x:c>
      <x:c r="H65" s="32" t="n">
        <x:f>D65*(F65+G65)</x:f>
        <x:v>229</x:v>
      </x:c>
      <x:c r="I65" s="24" t="str">
        <x:v>АС.2 л.24; 01-2024/ИЯИ-АС.2 «изм от03.07.26», л.21; 29 по штампу</x:v>
      </x:c>
      <x:c r="J65" s="24" t="str">
        <x:v>Масса229 кг — только швеллер+уголок. Ø6, сварка и покрытия не включены.</x:v>
      </x:c>
    </x:row>
    <x:row r="66" ht="36" customHeight="1">
      <x:c r="A66" s="24" t="str">
        <x:v>F3_MU18_B1a</x:v>
      </x:c>
      <x:c r="B66" s="24" t="str">
        <x:v>F3_MU18</x:v>
      </x:c>
      <x:c r="C66" s="28" t="n">
        <x:v>7.1</x:v>
      </x:c>
      <x:c r="D66" s="24" t="n">
        <x:v>1</x:v>
      </x:c>
      <x:c r="E66" s="32" t="n">
        <x:v>5.78</x:v>
      </x:c>
      <x:c r="F66" s="32" t="n">
        <x:v>160</x:v>
      </x:c>
      <x:c r="G66" s="32" t="n">
        <x:v>69</x:v>
      </x:c>
      <x:c r="H66" s="32" t="n">
        <x:f>D66*(F66+G66)</x:f>
        <x:v>229</x:v>
      </x:c>
      <x:c r="I66" s="24" t="str">
        <x:v>АС.2 л.24; 01-2024/ИЯИ-АС.2 «изм от03.07.26», л.21; 28 по штампу</x:v>
      </x:c>
      <x:c r="J66" s="24" t="str">
        <x:v>Масса229 кг — только швеллер+уголок. Ø6, сварка и покрытия не включены.</x:v>
      </x:c>
    </x:row>
    <x:row r="67" ht="36" customHeight="1">
      <x:c r="A67" s="24" t="str">
        <x:v>F3_MU18_B1b</x:v>
      </x:c>
      <x:c r="B67" s="24" t="str">
        <x:v>F3_MU18</x:v>
      </x:c>
      <x:c r="C67" s="28" t="n">
        <x:v>7.1</x:v>
      </x:c>
      <x:c r="D67" s="24" t="n">
        <x:v>1</x:v>
      </x:c>
      <x:c r="E67" s="32" t="n">
        <x:v>5.78</x:v>
      </x:c>
      <x:c r="F67" s="32" t="n">
        <x:v>160</x:v>
      </x:c>
      <x:c r="G67" s="32" t="n">
        <x:v>69</x:v>
      </x:c>
      <x:c r="H67" s="32" t="n">
        <x:f>D67*(F67+G67)</x:f>
        <x:v>229</x:v>
      </x:c>
      <x:c r="I67" s="24" t="str">
        <x:v>АС.2 л.24; 01-2024/ИЯИ-АС.2 «изм от03.07.26», л.21; 28 по штампу</x:v>
      </x:c>
      <x:c r="J67" s="24" t="str">
        <x:v>Масса229 кг — только швеллер+уголок. Ø6, сварка и покрытия не включены.</x:v>
      </x:c>
    </x:row>
    <x:row r="68" ht="36" customHeight="1">
      <x:c r="A68" s="24" t="str">
        <x:v>F3_MU19_B1a</x:v>
      </x:c>
      <x:c r="B68" s="24" t="str">
        <x:v>F3_MU19</x:v>
      </x:c>
      <x:c r="C68" s="28" t="n">
        <x:v>7.1</x:v>
      </x:c>
      <x:c r="D68" s="24" t="n">
        <x:v>1</x:v>
      </x:c>
      <x:c r="E68" s="32" t="n">
        <x:v>5.78</x:v>
      </x:c>
      <x:c r="F68" s="32" t="n">
        <x:v>160</x:v>
      </x:c>
      <x:c r="G68" s="32" t="n">
        <x:v>69</x:v>
      </x:c>
      <x:c r="H68" s="32" t="n">
        <x:f>D68*(F68+G68)</x:f>
        <x:v>229</x:v>
      </x:c>
      <x:c r="I68" s="24" t="str">
        <x:v>АС.2 л.24; 01-2024/ИЯИ-АС.2 «изм от03.07.26», л.21; 30 по штампу</x:v>
      </x:c>
      <x:c r="J68" s="24" t="str">
        <x:v>Масса229 кг — только швеллер+уголок. Ø6, сварка и покрытия не включены.</x:v>
      </x:c>
    </x:row>
    <x:row r="69" ht="36" customHeight="1">
      <x:c r="A69" s="24" t="str">
        <x:v>F3_MU19_B1b</x:v>
      </x:c>
      <x:c r="B69" s="24" t="str">
        <x:v>F3_MU19</x:v>
      </x:c>
      <x:c r="C69" s="28" t="n">
        <x:v>7.1</x:v>
      </x:c>
      <x:c r="D69" s="24" t="n">
        <x:v>1</x:v>
      </x:c>
      <x:c r="E69" s="32" t="n">
        <x:v>5.78</x:v>
      </x:c>
      <x:c r="F69" s="32" t="n">
        <x:v>160</x:v>
      </x:c>
      <x:c r="G69" s="32" t="n">
        <x:v>69</x:v>
      </x:c>
      <x:c r="H69" s="32" t="n">
        <x:f>D69*(F69+G69)</x:f>
        <x:v>229</x:v>
      </x:c>
      <x:c r="I69" s="24" t="str">
        <x:v>АС.2 л.24; 01-2024/ИЯИ-АС.2 «изм от03.07.26», л.21; 30 по штампу</x:v>
      </x:c>
      <x:c r="J69" s="24" t="str">
        <x:v>Масса229 кг — только швеллер+уголок. Ø6, сварка и покрытия не включены.</x:v>
      </x:c>
    </x:row>
    <x:row r="70" ht="36" customHeight="1">
      <x:c r="A70" s="24" t="str">
        <x:v>F3_MU32_B1a</x:v>
      </x:c>
      <x:c r="B70" s="24" t="str">
        <x:v>F3_MU32</x:v>
      </x:c>
      <x:c r="C70" s="28" t="n">
        <x:v>7.1</x:v>
      </x:c>
      <x:c r="D70" s="24" t="n">
        <x:v>1</x:v>
      </x:c>
      <x:c r="E70" s="32" t="n">
        <x:v>5.78</x:v>
      </x:c>
      <x:c r="F70" s="32" t="n">
        <x:v>160</x:v>
      </x:c>
      <x:c r="G70" s="32" t="n">
        <x:v>69</x:v>
      </x:c>
      <x:c r="H70" s="32" t="n">
        <x:f>D70*(F70+G70)</x:f>
        <x:v>229</x:v>
      </x:c>
      <x:c r="I70" s="24" t="str">
        <x:v>АС.2 л.24; 01-2024/ИЯИ-АС.2 «изм от03.07.26», л.21; 36 по штампу</x:v>
      </x:c>
      <x:c r="J70" s="24" t="str">
        <x:v>Масса229 кг — только швеллер+уголок. Ø6, сварка и покрытия не включены.</x:v>
      </x:c>
    </x:row>
    <x:row r="71" ht="36" customHeight="1">
      <x:c r="A71" s="24" t="str">
        <x:v>F3_MU32_B1b</x:v>
      </x:c>
      <x:c r="B71" s="24" t="str">
        <x:v>F3_MU32</x:v>
      </x:c>
      <x:c r="C71" s="28" t="n">
        <x:v>7.1</x:v>
      </x:c>
      <x:c r="D71" s="24" t="n">
        <x:v>1</x:v>
      </x:c>
      <x:c r="E71" s="32" t="n">
        <x:v>5.78</x:v>
      </x:c>
      <x:c r="F71" s="32" t="n">
        <x:v>160</x:v>
      </x:c>
      <x:c r="G71" s="32" t="n">
        <x:v>69</x:v>
      </x:c>
      <x:c r="H71" s="32" t="n">
        <x:f>D71*(F71+G71)</x:f>
        <x:v>229</x:v>
      </x:c>
      <x:c r="I71" s="24" t="str">
        <x:v>АС.2 л.24; 01-2024/ИЯИ-АС.2 «изм от03.07.26», л.21; 36 по штампу</x:v>
      </x:c>
      <x:c r="J71" s="24" t="str">
        <x:v>Масса229 кг — только швеллер+уголок. Ø6, сварка и покрытия не включены.</x:v>
      </x:c>
    </x:row>
    <x:row r="72" ht="36" customHeight="1">
      <x:c r="A72" s="24" t="str">
        <x:v>F3_MU33_B1a</x:v>
      </x:c>
      <x:c r="B72" s="24" t="str">
        <x:v>F3_MU33</x:v>
      </x:c>
      <x:c r="C72" s="28" t="n">
        <x:v>7.1</x:v>
      </x:c>
      <x:c r="D72" s="24" t="n">
        <x:v>1</x:v>
      </x:c>
      <x:c r="E72" s="32" t="n">
        <x:v>5.78</x:v>
      </x:c>
      <x:c r="F72" s="32" t="n">
        <x:v>160</x:v>
      </x:c>
      <x:c r="G72" s="32" t="n">
        <x:v>69</x:v>
      </x:c>
      <x:c r="H72" s="32" t="n">
        <x:f>D72*(F72+G72)</x:f>
        <x:v>229</x:v>
      </x:c>
      <x:c r="I72" s="24" t="str">
        <x:v>АС.2 л.24; 01-2024/ИЯИ-АС.2 «изм от03.07.26», л.21; 36 по штампу</x:v>
      </x:c>
      <x:c r="J72" s="24" t="str">
        <x:v>Масса229 кг — только швеллер+уголок. Ø6, сварка и покрытия не включены.</x:v>
      </x:c>
    </x:row>
    <x:row r="73" ht="36" customHeight="1">
      <x:c r="A73" s="24" t="str">
        <x:v>F3_MU33_B1b</x:v>
      </x:c>
      <x:c r="B73" s="24" t="str">
        <x:v>F3_MU33</x:v>
      </x:c>
      <x:c r="C73" s="28" t="n">
        <x:v>7.1</x:v>
      </x:c>
      <x:c r="D73" s="24" t="n">
        <x:v>1</x:v>
      </x:c>
      <x:c r="E73" s="32" t="n">
        <x:v>5.78</x:v>
      </x:c>
      <x:c r="F73" s="32" t="n">
        <x:v>160</x:v>
      </x:c>
      <x:c r="G73" s="32" t="n">
        <x:v>69</x:v>
      </x:c>
      <x:c r="H73" s="32" t="n">
        <x:f>D73*(F73+G73)</x:f>
        <x:v>229</x:v>
      </x:c>
      <x:c r="I73" s="24" t="str">
        <x:v>АС.2 л.24; 01-2024/ИЯИ-АС.2 «изм от03.07.26», л.21; 36 по штампу</x:v>
      </x:c>
      <x:c r="J73" s="24" t="str">
        <x:v>Масса229 кг — только швеллер+уголок. Ø6, сварка и покрытия не включены.</x:v>
      </x:c>
    </x:row>
  </x:sheetData>
  <x:mergeCells>
    <x:mergeCell ref="A1:J1"/>
    <x:mergeCell ref="A2:J3"/>
  </x:mergeCells>
  <x:pageMargins left="0.7" right="0.7" top="0.75" bottom="0.75" header="0.3" footer="0.3"/>
  <x:tableParts count="1">
    <x:tablePart xmlns:r="http://schemas.openxmlformats.org/officeDocument/2006/relationships" r:id="Rb2cbe2ddeb86460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30" hidden="0" customWidth="1"/>
    <x:col min="3" max="3" width="14" hidden="0" customWidth="1"/>
    <x:col min="4" max="4" width="14" hidden="0" customWidth="1"/>
    <x:col min="5" max="5" width="15" hidden="0" customWidth="1"/>
    <x:col min="6" max="6" width="18" hidden="0" customWidth="1"/>
    <x:col min="7" max="7" width="18" hidden="0" customWidth="1"/>
    <x:col min="8" max="8" width="18" hidden="0" customWidth="1"/>
    <x:col min="9" max="9" width="35" hidden="0" customWidth="1"/>
    <x:col min="10" max="10" width="70" hidden="0" customWidth="1"/>
  </x:cols>
  <x:sheetData>
    <x:row r="1" ht="32" customHeight="1">
      <x:c r="A1" s="4" t="str">
        <x:v>ФУНДАМЕНТЫ / КОНТРОЛЬ РАЗМЕРОВ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22" customHeight="1">
      <x:c r="A2" s="10" t="str">
        <x:v>Фп-1 не заменена. Новые Фп-2 и входные фундаменты не означают усиления всех существующих стаканных фундаментов.</x:v>
      </x:c>
      <x:c r="B2" s="10"/>
      <x:c r="C2" s="10"/>
      <x:c r="D2" s="10"/>
      <x:c r="E2" s="10"/>
      <x:c r="F2" s="10"/>
      <x:c r="G2" s="10"/>
      <x:c r="H2" s="10"/>
      <x:c r="I2" s="10"/>
      <x:c r="J2" s="10"/>
    </x:row>
    <x:row r="3" ht="22" customHeight="1">
      <x:c r="A3" s="10"/>
      <x:c r="B3" s="10"/>
      <x:c r="C3" s="10"/>
      <x:c r="D3" s="10"/>
      <x:c r="E3" s="10"/>
      <x:c r="F3" s="10"/>
      <x:c r="G3" s="10"/>
      <x:c r="H3" s="10"/>
      <x:c r="I3" s="10"/>
      <x:c r="J3" s="10"/>
    </x:row>
    <x:row r="5" ht="40" customHeight="1">
      <x:c r="A5" s="17" t="str">
        <x:v>Марка</x:v>
      </x:c>
      <x:c r="B5" s="17" t="str">
        <x:v>Элемент</x:v>
      </x:c>
      <x:c r="C5" s="17" t="str">
        <x:v>Размер1, м</x:v>
      </x:c>
      <x:c r="D5" s="17" t="str">
        <x:v>Размер2, м</x:v>
      </x:c>
      <x:c r="E5" s="17" t="str">
        <x:v>Толщина, м</x:v>
      </x:c>
      <x:c r="F5" s="17" t="str">
        <x:v>Ведомость, м³</x:v>
      </x:c>
      <x:c r="G5" s="17" t="str">
        <x:v>Геометрия, м³</x:v>
      </x:c>
      <x:c r="H5" s="17" t="str">
        <x:v>Разница, м³</x:v>
      </x:c>
      <x:c r="I5" s="17" t="str">
        <x:v>Источник</x:v>
      </x:c>
      <x:c r="J5" s="17" t="str">
        <x:v>Открытый вопрос</x:v>
      </x:c>
    </x:row>
    <x:row r="6" ht="36" customHeight="1">
      <x:c r="A6" s="24" t="str">
        <x:v>Фп-1</x:v>
      </x:c>
      <x:c r="B6" s="24" t="str">
        <x:v>Сохранена из R04</x:v>
      </x:c>
      <x:c r="C6" s="34"/>
      <x:c r="D6" s="34"/>
      <x:c r="E6" s="34"/>
      <x:c r="F6" s="34"/>
      <x:c r="G6" s="34"/>
      <x:c r="H6" s="34"/>
      <x:c r="I6" s="24" t="str">
        <x:v>АС.2 л.47–54; параметры R04</x:v>
      </x:c>
      <x:c r="J6" s="24" t="str">
        <x:v>В этом реестре не пересчитывалась, не добавлять повторно.</x:v>
      </x:c>
    </x:row>
    <x:row r="7" ht="36" customHeight="1">
      <x:c r="A7" s="24" t="str">
        <x:v>Фп-2</x:v>
      </x:c>
      <x:c r="B7" s="24" t="str">
        <x:v>Монолитная плита</x:v>
      </x:c>
      <x:c r="C7" s="34" t="n">
        <x:v>2.5</x:v>
      </x:c>
      <x:c r="D7" s="34" t="n">
        <x:v>2.9</x:v>
      </x:c>
      <x:c r="E7" s="34" t="n">
        <x:v>0.3</x:v>
      </x:c>
      <x:c r="F7" s="36" t="n">
        <x:v>2.64</x:v>
      </x:c>
      <x:c r="G7" s="36" t="n">
        <x:f>C7*D7*E7</x:f>
        <x:v>2.175</x:v>
      </x:c>
      <x:c r="H7" s="36" t="n">
        <x:f>G7-F7</x:f>
        <x:v>-0.4650000000000003</x:v>
      </x:c>
      <x:c r="I7" s="24" t="str">
        <x:v>АС.2 л.71/72; PDF81/82</x:v>
      </x:c>
      <x:c r="J7" s="24" t="str">
        <x:v>Верх−2,050 по л.71; л.72 разрез−2,060. Требует увязки.</x:v>
      </x:c>
    </x:row>
    <x:row r="8" ht="36" customHeight="1">
      <x:c r="A8" s="24" t="str">
        <x:v>Подготовка Фп-2</x:v>
      </x:c>
      <x:c r="B8" s="24" t="str">
        <x:v>Бетон В7,5</x:v>
      </x:c>
      <x:c r="C8" s="34" t="n">
        <x:v>2.7</x:v>
      </x:c>
      <x:c r="D8" s="34" t="n">
        <x:v>3.1</x:v>
      </x:c>
      <x:c r="E8" s="34" t="n">
        <x:v>0.1</x:v>
      </x:c>
      <x:c r="F8" s="36" t="n">
        <x:v>0.96</x:v>
      </x:c>
      <x:c r="G8" s="36" t="n">
        <x:f>C8*D8*E8</x:f>
        <x:v>0.8370000000000002</x:v>
      </x:c>
      <x:c r="H8" s="36" t="n">
        <x:f>G8-F8</x:f>
        <x:v>-0.12299999999999978</x:v>
      </x:c>
      <x:c r="I8" s="24" t="str">
        <x:v>АС.2 л.71/72; PDF81/82</x:v>
      </x:c>
      <x:c r="J8" s="24" t="str">
        <x:v>Вылет100мм. Геометрия и ведомость не совпадают.</x:v>
      </x:c>
    </x:row>
    <x:row r="9" ht="36" customHeight="1">
      <x:c r="A9" s="24" t="str">
        <x:v>Стены Фп-2</x:v>
      </x:c>
      <x:c r="B9" s="24" t="str">
        <x:v>250мм; верх−0,040</x:v>
      </x:c>
      <x:c r="C9" s="34"/>
      <x:c r="D9" s="34"/>
      <x:c r="E9" s="34"/>
      <x:c r="F9" s="36"/>
      <x:c r="G9" s="36"/>
      <x:c r="H9" s="36"/>
      <x:c r="I9" s="24" t="str">
        <x:v>АС.2 л.73–78</x:v>
      </x:c>
      <x:c r="J9" s="24" t="str">
        <x:v>Геометрическая высота2,010; размер в РД2,020. Не полная ведомость армирования.</x:v>
      </x:c>
    </x:row>
    <x:row r="10" ht="36" customHeight="1">
      <x:c r="A10" s="24" t="str">
        <x:v>Св-1</x:v>
      </x:c>
      <x:c r="B10" s="24" t="str">
        <x:v>Буронабивная свая</x:v>
      </x:c>
      <x:c r="C10" s="34" t="n">
        <x:v>0.3</x:v>
      </x:c>
      <x:c r="D10" s="34" t="n">
        <x:v>3</x:v>
      </x:c>
      <x:c r="E10" s="34"/>
      <x:c r="F10" s="36" t="n">
        <x:v>0.26</x:v>
      </x:c>
      <x:c r="G10" s="36" t="n">
        <x:f>PI()*C10*C10/4*D10</x:f>
        <x:v>0.21205750411731106</x:v>
      </x:c>
      <x:c r="H10" s="36" t="n">
        <x:f>G10-F10</x:f>
        <x:v>-0.04794249588268895</x:v>
      </x:c>
      <x:c r="I10" s="24" t="str">
        <x:v>АС.2 л.139; PDF149</x:v>
      </x:c>
      <x:c r="J10" s="24" t="str">
        <x:v>Ø300×3000: объём цилиндра отличается от ведомости. См.лист04.</x:v>
      </x:c>
    </x:row>
  </x:sheetData>
  <x:mergeCells>
    <x:mergeCell ref="A1:J1"/>
    <x:mergeCell ref="A2:J3"/>
  </x:mergeCells>
  <x:pageMargins left="0.7" right="0.7" top="0.75" bottom="0.75" header="0.3" footer="0.3"/>
  <x:tableParts count="1">
    <x:tablePart xmlns:r="http://schemas.openxmlformats.org/officeDocument/2006/relationships" r:id="R41435f683e7846d2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12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6" hidden="0" customWidth="1"/>
    <x:col min="8" max="8" width="14" hidden="0" customWidth="1"/>
    <x:col min="9" max="9" width="19" hidden="0" customWidth="1"/>
    <x:col min="10" max="10" width="19" hidden="0" customWidth="1"/>
    <x:col min="11" max="11" width="19" hidden="0" customWidth="1"/>
    <x:col min="12" max="12" width="38" hidden="0" customWidth="1"/>
  </x:cols>
  <x:sheetData>
    <x:row r="1" ht="32" customHeight="1">
      <x:c r="A1" s="4" t="str">
        <x:v>СВАИ ВХОДНЫХ ГРУПП / 19 ШТУК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22" customHeight="1">
      <x:c r="A2" s="10" t="str">
        <x:v>Координаты — оцифровка схем РД, не разбивочная ведомость. Отметка верха привязана к низу местного основания и требует натурной увязки.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</x:row>
    <x:row r="3" ht="22" customHeight="1">
      <x:c r="A3" s="10"/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</x:row>
    <x:row r="5" ht="40" customHeight="1">
      <x:c r="A5" s="17" t="str">
        <x:v>ID модели</x:v>
      </x:c>
      <x:c r="B5" s="17" t="str">
        <x:v>Вход №</x:v>
      </x:c>
      <x:c r="C5" s="17" t="str">
        <x:v>X, м</x:v>
      </x:c>
      <x:c r="D5" s="17" t="str">
        <x:v>Y, м</x:v>
      </x:c>
      <x:c r="E5" s="17" t="str">
        <x:v>Верх, м</x:v>
      </x:c>
      <x:c r="F5" s="17" t="str">
        <x:v>Низ, м</x:v>
      </x:c>
      <x:c r="G5" s="17" t="str">
        <x:v>Диаметр, м</x:v>
      </x:c>
      <x:c r="H5" s="17" t="str">
        <x:v>Длина, м</x:v>
      </x:c>
      <x:c r="I5" s="17" t="str">
        <x:v>Бетон по РД, м³</x:v>
      </x:c>
      <x:c r="J5" s="17" t="str">
        <x:v>Геометрия, м³</x:v>
      </x:c>
      <x:c r="K5" s="17" t="str">
        <x:v>Разница, м³</x:v>
      </x:c>
      <x:c r="L5" s="17" t="str">
        <x:v>Источник</x:v>
      </x:c>
    </x:row>
    <x:row r="6" ht="36" customHeight="1">
      <x:c r="A6" s="24" t="str">
        <x:v>E1_PILE1</x:v>
      </x:c>
      <x:c r="B6" s="24" t="n">
        <x:v>1</x:v>
      </x:c>
      <x:c r="C6" s="28" t="n">
        <x:v>9.103</x:v>
      </x:c>
      <x:c r="D6" s="28" t="n">
        <x:v>-1.67</x:v>
      </x:c>
      <x:c r="E6" s="28" t="n">
        <x:v>-2.16</x:v>
      </x:c>
      <x:c r="F6" s="28" t="n">
        <x:v>-5.16</x:v>
      </x:c>
      <x:c r="G6" s="28" t="n">
        <x:v>0.3</x:v>
      </x:c>
      <x:c r="H6" s="28" t="n">
        <x:v>3</x:v>
      </x:c>
      <x:c r="I6" s="30" t="n">
        <x:v>0.26</x:v>
      </x:c>
      <x:c r="J6" s="30" t="n">
        <x:f>PI()*G6*G6/4*H6</x:f>
        <x:v>0.21205750411731106</x:v>
      </x:c>
      <x:c r="K6" s="30" t="n">
        <x:f>J6-I6</x:f>
        <x:v>-0.04794249588268895</x:v>
      </x:c>
      <x:c r="L6" s="24" t="str">
        <x:v>01-2024/ИЯИ-АС.2 «изм от03.07.26», л.119–124;139;139 по штампу</x:v>
      </x:c>
    </x:row>
    <x:row r="7" ht="36" customHeight="1">
      <x:c r="A7" s="24" t="str">
        <x:v>E1_PILE2</x:v>
      </x:c>
      <x:c r="B7" s="24" t="n">
        <x:v>1</x:v>
      </x:c>
      <x:c r="C7" s="28" t="n">
        <x:v>11.903</x:v>
      </x:c>
      <x:c r="D7" s="28" t="n">
        <x:v>-1.67</x:v>
      </x:c>
      <x:c r="E7" s="28" t="n">
        <x:v>-2.16</x:v>
      </x:c>
      <x:c r="F7" s="28" t="n">
        <x:v>-5.16</x:v>
      </x:c>
      <x:c r="G7" s="28" t="n">
        <x:v>0.3</x:v>
      </x:c>
      <x:c r="H7" s="28" t="n">
        <x:v>3</x:v>
      </x:c>
      <x:c r="I7" s="30" t="n">
        <x:v>0.26</x:v>
      </x:c>
      <x:c r="J7" s="30" t="n">
        <x:f>PI()*G7*G7/4*H7</x:f>
        <x:v>0.21205750411731106</x:v>
      </x:c>
      <x:c r="K7" s="30" t="n">
        <x:f>J7-I7</x:f>
        <x:v>-0.04794249588268895</x:v>
      </x:c>
      <x:c r="L7" s="24" t="str">
        <x:v>01-2024/ИЯИ-АС.2 «изм от03.07.26», л.119–124;139;139 по штампу</x:v>
      </x:c>
    </x:row>
    <x:row r="8" ht="36" customHeight="1">
      <x:c r="A8" s="24" t="str">
        <x:v>E1_PILE3</x:v>
      </x:c>
      <x:c r="B8" s="24" t="n">
        <x:v>1</x:v>
      </x:c>
      <x:c r="C8" s="28" t="n">
        <x:v>9.103</x:v>
      </x:c>
      <x:c r="D8" s="28" t="n">
        <x:v>-3.489</x:v>
      </x:c>
      <x:c r="E8" s="28" t="n">
        <x:v>-2.16</x:v>
      </x:c>
      <x:c r="F8" s="28" t="n">
        <x:v>-5.16</x:v>
      </x:c>
      <x:c r="G8" s="28" t="n">
        <x:v>0.3</x:v>
      </x:c>
      <x:c r="H8" s="28" t="n">
        <x:v>3</x:v>
      </x:c>
      <x:c r="I8" s="30" t="n">
        <x:v>0.26</x:v>
      </x:c>
      <x:c r="J8" s="30" t="n">
        <x:f>PI()*G8*G8/4*H8</x:f>
        <x:v>0.21205750411731106</x:v>
      </x:c>
      <x:c r="K8" s="30" t="n">
        <x:f>J8-I8</x:f>
        <x:v>-0.04794249588268895</x:v>
      </x:c>
      <x:c r="L8" s="24" t="str">
        <x:v>01-2024/ИЯИ-АС.2 «изм от03.07.26», л.119–124;139;139 по штампу</x:v>
      </x:c>
    </x:row>
    <x:row r="9" ht="36" customHeight="1">
      <x:c r="A9" s="24" t="str">
        <x:v>E1_PILE4</x:v>
      </x:c>
      <x:c r="B9" s="24" t="n">
        <x:v>1</x:v>
      </x:c>
      <x:c r="C9" s="28" t="n">
        <x:v>11.903</x:v>
      </x:c>
      <x:c r="D9" s="28" t="n">
        <x:v>-3.489</x:v>
      </x:c>
      <x:c r="E9" s="28" t="n">
        <x:v>-2.16</x:v>
      </x:c>
      <x:c r="F9" s="28" t="n">
        <x:v>-5.16</x:v>
      </x:c>
      <x:c r="G9" s="28" t="n">
        <x:v>0.3</x:v>
      </x:c>
      <x:c r="H9" s="28" t="n">
        <x:v>3</x:v>
      </x:c>
      <x:c r="I9" s="30" t="n">
        <x:v>0.26</x:v>
      </x:c>
      <x:c r="J9" s="30" t="n">
        <x:f>PI()*G9*G9/4*H9</x:f>
        <x:v>0.21205750411731106</x:v>
      </x:c>
      <x:c r="K9" s="30" t="n">
        <x:f>J9-I9</x:f>
        <x:v>-0.04794249588268895</x:v>
      </x:c>
      <x:c r="L9" s="24" t="str">
        <x:v>01-2024/ИЯИ-АС.2 «изм от03.07.26», л.119–124;139;139 по штампу</x:v>
      </x:c>
    </x:row>
    <x:row r="10" ht="36" customHeight="1">
      <x:c r="A10" s="24" t="str">
        <x:v>E2_PILE1</x:v>
      </x:c>
      <x:c r="B10" s="24" t="n">
        <x:v>2</x:v>
      </x:c>
      <x:c r="C10" s="28" t="n">
        <x:v>39.272</x:v>
      </x:c>
      <x:c r="D10" s="28" t="n">
        <x:v>-0.558</x:v>
      </x:c>
      <x:c r="E10" s="28" t="n">
        <x:v>-0.32</x:v>
      </x:c>
      <x:c r="F10" s="28" t="n">
        <x:v>-3.32</x:v>
      </x:c>
      <x:c r="G10" s="28" t="n">
        <x:v>0.3</x:v>
      </x:c>
      <x:c r="H10" s="28" t="n">
        <x:v>3</x:v>
      </x:c>
      <x:c r="I10" s="30" t="n">
        <x:v>0.26</x:v>
      </x:c>
      <x:c r="J10" s="30" t="n">
        <x:f>PI()*G10*G10/4*H10</x:f>
        <x:v>0.21205750411731106</x:v>
      </x:c>
      <x:c r="K10" s="30" t="n">
        <x:f>J10-I10</x:f>
        <x:v>-0.04794249588268895</x:v>
      </x:c>
      <x:c r="L10" s="24" t="str">
        <x:v>01-2024/ИЯИ-АС.2 «изм от03.07.26», л.125–128;139;139 по штампу</x:v>
      </x:c>
    </x:row>
    <x:row r="11" ht="36" customHeight="1">
      <x:c r="A11" s="24" t="str">
        <x:v>E2_PILE2</x:v>
      </x:c>
      <x:c r="B11" s="24" t="n">
        <x:v>2</x:v>
      </x:c>
      <x:c r="C11" s="28" t="n">
        <x:v>39.272</x:v>
      </x:c>
      <x:c r="D11" s="28" t="n">
        <x:v>-1.578</x:v>
      </x:c>
      <x:c r="E11" s="28" t="n">
        <x:v>-0.32</x:v>
      </x:c>
      <x:c r="F11" s="28" t="n">
        <x:v>-3.32</x:v>
      </x:c>
      <x:c r="G11" s="28" t="n">
        <x:v>0.3</x:v>
      </x:c>
      <x:c r="H11" s="28" t="n">
        <x:v>3</x:v>
      </x:c>
      <x:c r="I11" s="30" t="n">
        <x:v>0.26</x:v>
      </x:c>
      <x:c r="J11" s="30" t="n">
        <x:f>PI()*G11*G11/4*H11</x:f>
        <x:v>0.21205750411731106</x:v>
      </x:c>
      <x:c r="K11" s="30" t="n">
        <x:f>J11-I11</x:f>
        <x:v>-0.04794249588268895</x:v>
      </x:c>
      <x:c r="L11" s="24" t="str">
        <x:v>01-2024/ИЯИ-АС.2 «изм от03.07.26», л.125–128;139;139 по штампу</x:v>
      </x:c>
    </x:row>
    <x:row r="12" ht="36" customHeight="1">
      <x:c r="A12" s="24" t="str">
        <x:v>E2_PILE3</x:v>
      </x:c>
      <x:c r="B12" s="24" t="n">
        <x:v>2</x:v>
      </x:c>
      <x:c r="C12" s="28" t="n">
        <x:v>41.082</x:v>
      </x:c>
      <x:c r="D12" s="28" t="n">
        <x:v>-1.578</x:v>
      </x:c>
      <x:c r="E12" s="28" t="n">
        <x:v>-0.32</x:v>
      </x:c>
      <x:c r="F12" s="28" t="n">
        <x:v>-3.32</x:v>
      </x:c>
      <x:c r="G12" s="28" t="n">
        <x:v>0.3</x:v>
      </x:c>
      <x:c r="H12" s="28" t="n">
        <x:v>3</x:v>
      </x:c>
      <x:c r="I12" s="30" t="n">
        <x:v>0.26</x:v>
      </x:c>
      <x:c r="J12" s="30" t="n">
        <x:f>PI()*G12*G12/4*H12</x:f>
        <x:v>0.21205750411731106</x:v>
      </x:c>
      <x:c r="K12" s="30" t="n">
        <x:f>J12-I12</x:f>
        <x:v>-0.04794249588268895</x:v>
      </x:c>
      <x:c r="L12" s="24" t="str">
        <x:v>01-2024/ИЯИ-АС.2 «изм от03.07.26», л.125–128;139;139 по штампу</x:v>
      </x:c>
    </x:row>
    <x:row r="13" ht="36" customHeight="1">
      <x:c r="A13" s="24" t="str">
        <x:v>E3_PILE1</x:v>
      </x:c>
      <x:c r="B13" s="24" t="n">
        <x:v>3</x:v>
      </x:c>
      <x:c r="C13" s="28" t="n">
        <x:v>45.521</x:v>
      </x:c>
      <x:c r="D13" s="28" t="n">
        <x:v>-0.558</x:v>
      </x:c>
      <x:c r="E13" s="28" t="n">
        <x:v>-0.32</x:v>
      </x:c>
      <x:c r="F13" s="28" t="n">
        <x:v>-3.32</x:v>
      </x:c>
      <x:c r="G13" s="28" t="n">
        <x:v>0.3</x:v>
      </x:c>
      <x:c r="H13" s="28" t="n">
        <x:v>3</x:v>
      </x:c>
      <x:c r="I13" s="30" t="n">
        <x:v>0.26</x:v>
      </x:c>
      <x:c r="J13" s="30" t="n">
        <x:f>PI()*G13*G13/4*H13</x:f>
        <x:v>0.21205750411731106</x:v>
      </x:c>
      <x:c r="K13" s="30" t="n">
        <x:f>J13-I13</x:f>
        <x:v>-0.04794249588268895</x:v>
      </x:c>
      <x:c r="L13" s="24" t="str">
        <x:v>01-2024/ИЯИ-АС.2 «изм от03.07.26», л.125–128;139;139 по штампу</x:v>
      </x:c>
    </x:row>
    <x:row r="14" ht="36" customHeight="1">
      <x:c r="A14" s="24" t="str">
        <x:v>E3_PILE2</x:v>
      </x:c>
      <x:c r="B14" s="24" t="n">
        <x:v>3</x:v>
      </x:c>
      <x:c r="C14" s="28" t="n">
        <x:v>46.4</x:v>
      </x:c>
      <x:c r="D14" s="28" t="n">
        <x:v>-0.558</x:v>
      </x:c>
      <x:c r="E14" s="28" t="n">
        <x:v>-0.32</x:v>
      </x:c>
      <x:c r="F14" s="28" t="n">
        <x:v>-3.32</x:v>
      </x:c>
      <x:c r="G14" s="28" t="n">
        <x:v>0.3</x:v>
      </x:c>
      <x:c r="H14" s="28" t="n">
        <x:v>3</x:v>
      </x:c>
      <x:c r="I14" s="30" t="n">
        <x:v>0.26</x:v>
      </x:c>
      <x:c r="J14" s="30" t="n">
        <x:f>PI()*G14*G14/4*H14</x:f>
        <x:v>0.21205750411731106</x:v>
      </x:c>
      <x:c r="K14" s="30" t="n">
        <x:f>J14-I14</x:f>
        <x:v>-0.04794249588268895</x:v>
      </x:c>
      <x:c r="L14" s="24" t="str">
        <x:v>01-2024/ИЯИ-АС.2 «изм от03.07.26», л.125–128;139;139 по штампу</x:v>
      </x:c>
    </x:row>
    <x:row r="15" ht="36" customHeight="1">
      <x:c r="A15" s="24" t="str">
        <x:v>E3_PILE3</x:v>
      </x:c>
      <x:c r="B15" s="24" t="n">
        <x:v>3</x:v>
      </x:c>
      <x:c r="C15" s="28" t="n">
        <x:v>45.521</x:v>
      </x:c>
      <x:c r="D15" s="28" t="n">
        <x:v>-1.578</x:v>
      </x:c>
      <x:c r="E15" s="28" t="n">
        <x:v>-0.32</x:v>
      </x:c>
      <x:c r="F15" s="28" t="n">
        <x:v>-3.32</x:v>
      </x:c>
      <x:c r="G15" s="28" t="n">
        <x:v>0.3</x:v>
      </x:c>
      <x:c r="H15" s="28" t="n">
        <x:v>3</x:v>
      </x:c>
      <x:c r="I15" s="30" t="n">
        <x:v>0.26</x:v>
      </x:c>
      <x:c r="J15" s="30" t="n">
        <x:f>PI()*G15*G15/4*H15</x:f>
        <x:v>0.21205750411731106</x:v>
      </x:c>
      <x:c r="K15" s="30" t="n">
        <x:f>J15-I15</x:f>
        <x:v>-0.04794249588268895</x:v>
      </x:c>
      <x:c r="L15" s="24" t="str">
        <x:v>01-2024/ИЯИ-АС.2 «изм от03.07.26», л.125–128;139;139 по штампу</x:v>
      </x:c>
    </x:row>
    <x:row r="16" ht="36" customHeight="1">
      <x:c r="A16" s="24" t="str">
        <x:v>E3_PILE4</x:v>
      </x:c>
      <x:c r="B16" s="24" t="n">
        <x:v>3</x:v>
      </x:c>
      <x:c r="C16" s="28" t="n">
        <x:v>47.681</x:v>
      </x:c>
      <x:c r="D16" s="28" t="n">
        <x:v>-1.578</x:v>
      </x:c>
      <x:c r="E16" s="28" t="n">
        <x:v>-0.32</x:v>
      </x:c>
      <x:c r="F16" s="28" t="n">
        <x:v>-3.32</x:v>
      </x:c>
      <x:c r="G16" s="28" t="n">
        <x:v>0.3</x:v>
      </x:c>
      <x:c r="H16" s="28" t="n">
        <x:v>3</x:v>
      </x:c>
      <x:c r="I16" s="30" t="n">
        <x:v>0.26</x:v>
      </x:c>
      <x:c r="J16" s="30" t="n">
        <x:f>PI()*G16*G16/4*H16</x:f>
        <x:v>0.21205750411731106</x:v>
      </x:c>
      <x:c r="K16" s="30" t="n">
        <x:f>J16-I16</x:f>
        <x:v>-0.04794249588268895</x:v>
      </x:c>
      <x:c r="L16" s="24" t="str">
        <x:v>01-2024/ИЯИ-АС.2 «изм от03.07.26», л.125–128;139;139 по штампу</x:v>
      </x:c>
    </x:row>
    <x:row r="17" ht="36" customHeight="1">
      <x:c r="A17" s="24" t="str">
        <x:v>E6_PILE1</x:v>
      </x:c>
      <x:c r="B17" s="24" t="n">
        <x:v>6</x:v>
      </x:c>
      <x:c r="C17" s="28" t="n">
        <x:v>33.624</x:v>
      </x:c>
      <x:c r="D17" s="28" t="n">
        <x:v>51.086</x:v>
      </x:c>
      <x:c r="E17" s="28" t="n">
        <x:v>-0.91</x:v>
      </x:c>
      <x:c r="F17" s="28" t="n">
        <x:v>-3.91</x:v>
      </x:c>
      <x:c r="G17" s="28" t="n">
        <x:v>0.3</x:v>
      </x:c>
      <x:c r="H17" s="28" t="n">
        <x:v>3</x:v>
      </x:c>
      <x:c r="I17" s="30" t="n">
        <x:v>0.26</x:v>
      </x:c>
      <x:c r="J17" s="30" t="n">
        <x:f>PI()*G17*G17/4*H17</x:f>
        <x:v>0.21205750411731106</x:v>
      </x:c>
      <x:c r="K17" s="30" t="n">
        <x:f>J17-I17</x:f>
        <x:v>-0.04794249588268895</x:v>
      </x:c>
      <x:c r="L17" s="24" t="str">
        <x:v>01-2024/ИЯИ-АС.2 «изм от03.07.26», л.133–135;139;139 по штампу</x:v>
      </x:c>
    </x:row>
    <x:row r="18" ht="36" customHeight="1">
      <x:c r="A18" s="24" t="str">
        <x:v>E6_PILE2</x:v>
      </x:c>
      <x:c r="B18" s="24" t="n">
        <x:v>6</x:v>
      </x:c>
      <x:c r="C18" s="28" t="n">
        <x:v>35.383</x:v>
      </x:c>
      <x:c r="D18" s="28" t="n">
        <x:v>51.086</x:v>
      </x:c>
      <x:c r="E18" s="28" t="n">
        <x:v>-0.91</x:v>
      </x:c>
      <x:c r="F18" s="28" t="n">
        <x:v>-3.91</x:v>
      </x:c>
      <x:c r="G18" s="28" t="n">
        <x:v>0.3</x:v>
      </x:c>
      <x:c r="H18" s="28" t="n">
        <x:v>3</x:v>
      </x:c>
      <x:c r="I18" s="30" t="n">
        <x:v>0.26</x:v>
      </x:c>
      <x:c r="J18" s="30" t="n">
        <x:f>PI()*G18*G18/4*H18</x:f>
        <x:v>0.21205750411731106</x:v>
      </x:c>
      <x:c r="K18" s="30" t="n">
        <x:f>J18-I18</x:f>
        <x:v>-0.04794249588268895</x:v>
      </x:c>
      <x:c r="L18" s="24" t="str">
        <x:v>01-2024/ИЯИ-АС.2 «изм от03.07.26», л.133–135;139;139 по штампу</x:v>
      </x:c>
    </x:row>
    <x:row r="19" ht="36" customHeight="1">
      <x:c r="A19" s="24" t="str">
        <x:v>E6_PILE3</x:v>
      </x:c>
      <x:c r="B19" s="24" t="n">
        <x:v>6</x:v>
      </x:c>
      <x:c r="C19" s="28" t="n">
        <x:v>33.624</x:v>
      </x:c>
      <x:c r="D19" s="28" t="n">
        <x:v>48.913</x:v>
      </x:c>
      <x:c r="E19" s="28" t="n">
        <x:v>-0.91</x:v>
      </x:c>
      <x:c r="F19" s="28" t="n">
        <x:v>-3.91</x:v>
      </x:c>
      <x:c r="G19" s="28" t="n">
        <x:v>0.3</x:v>
      </x:c>
      <x:c r="H19" s="28" t="n">
        <x:v>3</x:v>
      </x:c>
      <x:c r="I19" s="30" t="n">
        <x:v>0.26</x:v>
      </x:c>
      <x:c r="J19" s="30" t="n">
        <x:f>PI()*G19*G19/4*H19</x:f>
        <x:v>0.21205750411731106</x:v>
      </x:c>
      <x:c r="K19" s="30" t="n">
        <x:f>J19-I19</x:f>
        <x:v>-0.04794249588268895</x:v>
      </x:c>
      <x:c r="L19" s="24" t="str">
        <x:v>01-2024/ИЯИ-АС.2 «изм от03.07.26», л.133–135;139;139 по штампу</x:v>
      </x:c>
    </x:row>
    <x:row r="20" ht="36" customHeight="1">
      <x:c r="A20" s="24" t="str">
        <x:v>E6_PILE4</x:v>
      </x:c>
      <x:c r="B20" s="24" t="n">
        <x:v>6</x:v>
      </x:c>
      <x:c r="C20" s="28" t="n">
        <x:v>35.383</x:v>
      </x:c>
      <x:c r="D20" s="28" t="n">
        <x:v>49.601</x:v>
      </x:c>
      <x:c r="E20" s="28" t="n">
        <x:v>-0.91</x:v>
      </x:c>
      <x:c r="F20" s="28" t="n">
        <x:v>-3.91</x:v>
      </x:c>
      <x:c r="G20" s="28" t="n">
        <x:v>0.3</x:v>
      </x:c>
      <x:c r="H20" s="28" t="n">
        <x:v>3</x:v>
      </x:c>
      <x:c r="I20" s="30" t="n">
        <x:v>0.26</x:v>
      </x:c>
      <x:c r="J20" s="30" t="n">
        <x:f>PI()*G20*G20/4*H20</x:f>
        <x:v>0.21205750411731106</x:v>
      </x:c>
      <x:c r="K20" s="30" t="n">
        <x:f>J20-I20</x:f>
        <x:v>-0.04794249588268895</x:v>
      </x:c>
      <x:c r="L20" s="24" t="str">
        <x:v>01-2024/ИЯИ-АС.2 «изм от03.07.26», л.133–135;139;139 по штампу</x:v>
      </x:c>
    </x:row>
    <x:row r="21" ht="36" customHeight="1">
      <x:c r="A21" s="24" t="str">
        <x:v>E8_PILE1</x:v>
      </x:c>
      <x:c r="B21" s="24" t="n">
        <x:v>8</x:v>
      </x:c>
      <x:c r="C21" s="28" t="n">
        <x:v>31.021</x:v>
      </x:c>
      <x:c r="D21" s="28" t="n">
        <x:v>13.58</x:v>
      </x:c>
      <x:c r="E21" s="28" t="n">
        <x:v>-0.32</x:v>
      </x:c>
      <x:c r="F21" s="28" t="n">
        <x:v>-3.32</x:v>
      </x:c>
      <x:c r="G21" s="28" t="n">
        <x:v>0.3</x:v>
      </x:c>
      <x:c r="H21" s="28" t="n">
        <x:v>3</x:v>
      </x:c>
      <x:c r="I21" s="30" t="n">
        <x:v>0.26</x:v>
      </x:c>
      <x:c r="J21" s="30" t="n">
        <x:f>PI()*G21*G21/4*H21</x:f>
        <x:v>0.21205750411731106</x:v>
      </x:c>
      <x:c r="K21" s="30" t="n">
        <x:f>J21-I21</x:f>
        <x:v>-0.04794249588268895</x:v>
      </x:c>
      <x:c r="L21" s="24" t="str">
        <x:v>01-2024/ИЯИ-АС.2 «изм от03.07.26», л.137–139;139 по штампу</x:v>
      </x:c>
    </x:row>
    <x:row r="22" ht="36" customHeight="1">
      <x:c r="A22" s="24" t="str">
        <x:v>E8_PILE2</x:v>
      </x:c>
      <x:c r="B22" s="24" t="n">
        <x:v>8</x:v>
      </x:c>
      <x:c r="C22" s="28" t="n">
        <x:v>32.381</x:v>
      </x:c>
      <x:c r="D22" s="28" t="n">
        <x:v>13.58</x:v>
      </x:c>
      <x:c r="E22" s="28" t="n">
        <x:v>-0.32</x:v>
      </x:c>
      <x:c r="F22" s="28" t="n">
        <x:v>-3.32</x:v>
      </x:c>
      <x:c r="G22" s="28" t="n">
        <x:v>0.3</x:v>
      </x:c>
      <x:c r="H22" s="28" t="n">
        <x:v>3</x:v>
      </x:c>
      <x:c r="I22" s="30" t="n">
        <x:v>0.26</x:v>
      </x:c>
      <x:c r="J22" s="30" t="n">
        <x:f>PI()*G22*G22/4*H22</x:f>
        <x:v>0.21205750411731106</x:v>
      </x:c>
      <x:c r="K22" s="30" t="n">
        <x:f>J22-I22</x:f>
        <x:v>-0.04794249588268895</x:v>
      </x:c>
      <x:c r="L22" s="24" t="str">
        <x:v>01-2024/ИЯИ-АС.2 «изм от03.07.26», л.137–139;139 по штампу</x:v>
      </x:c>
    </x:row>
    <x:row r="23" ht="36" customHeight="1">
      <x:c r="A23" s="24" t="str">
        <x:v>E8_PILE3</x:v>
      </x:c>
      <x:c r="B23" s="24" t="n">
        <x:v>8</x:v>
      </x:c>
      <x:c r="C23" s="28" t="n">
        <x:v>31.021</x:v>
      </x:c>
      <x:c r="D23" s="28" t="n">
        <x:v>12.6</x:v>
      </x:c>
      <x:c r="E23" s="28" t="n">
        <x:v>-0.32</x:v>
      </x:c>
      <x:c r="F23" s="28" t="n">
        <x:v>-3.32</x:v>
      </x:c>
      <x:c r="G23" s="28" t="n">
        <x:v>0.3</x:v>
      </x:c>
      <x:c r="H23" s="28" t="n">
        <x:v>3</x:v>
      </x:c>
      <x:c r="I23" s="30" t="n">
        <x:v>0.26</x:v>
      </x:c>
      <x:c r="J23" s="30" t="n">
        <x:f>PI()*G23*G23/4*H23</x:f>
        <x:v>0.21205750411731106</x:v>
      </x:c>
      <x:c r="K23" s="30" t="n">
        <x:f>J23-I23</x:f>
        <x:v>-0.04794249588268895</x:v>
      </x:c>
      <x:c r="L23" s="24" t="str">
        <x:v>01-2024/ИЯИ-АС.2 «изм от03.07.26», л.137–139;139 по штампу</x:v>
      </x:c>
    </x:row>
    <x:row r="24" ht="36" customHeight="1">
      <x:c r="A24" s="24" t="str">
        <x:v>E8_PILE4</x:v>
      </x:c>
      <x:c r="B24" s="24" t="n">
        <x:v>8</x:v>
      </x:c>
      <x:c r="C24" s="28" t="n">
        <x:v>32.379</x:v>
      </x:c>
      <x:c r="D24" s="28" t="n">
        <x:v>12.6</x:v>
      </x:c>
      <x:c r="E24" s="28" t="n">
        <x:v>-0.32</x:v>
      </x:c>
      <x:c r="F24" s="28" t="n">
        <x:v>-3.32</x:v>
      </x:c>
      <x:c r="G24" s="28" t="n">
        <x:v>0.3</x:v>
      </x:c>
      <x:c r="H24" s="28" t="n">
        <x:v>3</x:v>
      </x:c>
      <x:c r="I24" s="30" t="n">
        <x:v>0.26</x:v>
      </x:c>
      <x:c r="J24" s="30" t="n">
        <x:f>PI()*G24*G24/4*H24</x:f>
        <x:v>0.21205750411731106</x:v>
      </x:c>
      <x:c r="K24" s="30" t="n">
        <x:f>J24-I24</x:f>
        <x:v>-0.04794249588268895</x:v>
      </x:c>
      <x:c r="L24" s="24" t="str">
        <x:v>01-2024/ИЯИ-АС.2 «изм от03.07.26», л.137–139;139 по штампу</x:v>
      </x:c>
    </x:row>
  </x:sheetData>
  <x:mergeCells>
    <x:mergeCell ref="A1:L1"/>
    <x:mergeCell ref="A2:L3"/>
  </x:mergeCells>
  <x:pageMargins left="0.7" right="0.7" top="0.75" bottom="0.75" header="0.3" footer="0.3"/>
  <x:tableParts count="1">
    <x:tablePart xmlns:r="http://schemas.openxmlformats.org/officeDocument/2006/relationships" r:id="R8e79d0c3dbc9486f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75" hidden="0" customWidth="1"/>
    <x:col min="4" max="4" width="85" hidden="0" customWidth="1"/>
    <x:col min="5" max="5" width="18" hidden="0" customWidth="1"/>
  </x:cols>
  <x:sheetData>
    <x:row r="1" ht="32" customHeight="1">
      <x:c r="A1" s="4" t="str">
        <x:v>ОТКРЫТЫЕ ВОПРОСЫ / НЕ ЗАКРЫТЫ МОДЕЛЬЮ</x:v>
      </x:c>
      <x:c r="B1" s="4"/>
      <x:c r="C1" s="4"/>
      <x:c r="D1" s="4"/>
      <x:c r="E1" s="4"/>
    </x:row>
    <x:row r="2" ht="22" customHeight="1">
      <x:c r="A2" s="10" t="str">
        <x:v>Обнаруженные противоречия не устранялись произвольным подбором размеров. Требуется ответ проектировщика либо обмер.</x:v>
      </x:c>
      <x:c r="B2" s="10"/>
      <x:c r="C2" s="10"/>
      <x:c r="D2" s="10"/>
      <x:c r="E2" s="10"/>
    </x:row>
    <x:row r="3" ht="22" customHeight="1">
      <x:c r="A3" s="10"/>
      <x:c r="B3" s="10"/>
      <x:c r="C3" s="10"/>
      <x:c r="D3" s="10"/>
      <x:c r="E3" s="10"/>
    </x:row>
    <x:row r="5" ht="40" customHeight="1">
      <x:c r="A5" s="17" t="str">
        <x:v>ID</x:v>
      </x:c>
      <x:c r="B5" s="17" t="str">
        <x:v>Тема</x:v>
      </x:c>
      <x:c r="C5" s="17" t="str">
        <x:v>Что выявлено</x:v>
      </x:c>
      <x:c r="D5" s="17" t="str">
        <x:v>Как отражено / что требуется</x:v>
      </x:c>
      <x:c r="E5" s="17" t="str">
        <x:v>Статус</x:v>
      </x:c>
    </x:row>
    <x:row r="6" ht="84" customHeight="1">
      <x:c r="A6" s="24" t="str">
        <x:v>R05-01</x:v>
      </x:c>
      <x:c r="B6" s="24" t="str">
        <x:v>Актуальность выпусков</x:v>
      </x:c>
      <x:c r="C6" s="24" t="str">
        <x:v>Полный альбом «изм от03.07.26» содержит внутренние пометки20.07. Предыдущая выборка имеет иной состав/нумерацию и иное армирование МУ34/55.</x:v>
      </x:c>
      <x:c r="D6" s="40" t="str">
        <x:v>Принят последний полный файл по поручению пользователя; подписанный реестр замены листов не представлен. Старые решения не подменяют последние.</x:v>
      </x:c>
      <x:c r="E6" s="24" t="str">
        <x:v>Открыто</x:v>
      </x:c>
    </x:row>
    <x:row r="7" ht="84" customHeight="1">
      <x:c r="A7" s="24" t="str">
        <x:v>R05-02</x:v>
      </x:c>
      <x:c r="B7" s="24" t="str">
        <x:v>Разновысотное перекрытие</x:v>
      </x:c>
      <x:c r="C7" s="24" t="str">
        <x:v>23 МУ относятся к плану л.20, но МУ23 находится в зоне покрытия галереи: +4,700. Оболочка галереи R04 имела условный верх+4,410.</x:v>
      </x:c>
      <x:c r="D7" s="40" t="str">
        <x:v>В R05 МУ23 и оболочка галереи подняты на+4,700 по АС.2 л.4/20. Требуется обмерная увязка с АР.</x:v>
      </x:c>
      <x:c r="E7" s="24" t="str">
        <x:v>Открыто</x:v>
      </x:c>
    </x:row>
    <x:row r="8" ht="84" customHeight="1">
      <x:c r="A8" s="24" t="str">
        <x:v>R05-03</x:v>
      </x:c>
      <x:c r="B8" s="24" t="str">
        <x:v>Второй свет</x:v>
      </x:c>
      <x:c r="C8" s="24" t="str">
        <x:v>В R04 оболочка+7,100 заполняла западный сектор, который на плане л.21 не имеет перекрытия.</x:v>
      </x:c>
      <x:c r="D8" s="40" t="str">
        <x:v>Убрана оболочка в секторе1–3/В–Ж по плану; кромки перенесены координационно, обмер не выполнен.</x:v>
      </x:c>
      <x:c r="E8" s="24" t="str">
        <x:v>Открыто</x:v>
      </x:c>
    </x:row>
    <x:row r="9" ht="84" customHeight="1">
      <x:c r="A9" s="24" t="str">
        <x:v>R05-04</x:v>
      </x:c>
      <x:c r="B9" s="24" t="str">
        <x:v>Фп-2: размеры и бетон</x:v>
      </x:c>
      <x:c r="C9" s="24" t="str">
        <x:v>2500×2900×300 дают2,175м³, а ведомость л.72 указывает2,64м³; подготовка модели0,837м³ против0,96м³ по ведомости.</x:v>
      </x:c>
      <x:c r="D9" s="40" t="str">
        <x:v>Габариты по л.71, исходные объёмы отдельно. Не использовать разницу как заказ/экономию до ответа проектировщика.</x:v>
      </x:c>
      <x:c r="E9" s="24" t="str">
        <x:v>Открыто</x:v>
      </x:c>
    </x:row>
    <x:row r="10" ht="84" customHeight="1">
      <x:c r="A10" s="24" t="str">
        <x:v>R05-05</x:v>
      </x:c>
      <x:c r="B10" s="24" t="str">
        <x:v>Фп-2: сопряжение стены</x:v>
      </x:c>
      <x:c r="C10" s="24" t="str">
        <x:v>ВерхФп-2 л.71 −2,050; нижняя отметка стены/размер2020 до−0,040 указывает−2,060. В старой ПД также−2,060.</x:v>
      </x:c>
      <x:c r="D10" s="40" t="str">
        <x:v>Плита по последнему л.71; стены показаны от её верха до−0,040. Размерный разрыв10мм отмечен; подливка не назначена.</x:v>
      </x:c>
      <x:c r="E10" s="24" t="str">
        <x:v>Открыто</x:v>
      </x:c>
    </x:row>
    <x:row r="11" ht="84" customHeight="1">
      <x:c r="A11" s="24" t="str">
        <x:v>R05-06</x:v>
      </x:c>
      <x:c r="B11" s="24" t="str">
        <x:v>СваяСв-1: расход бетона</x:v>
      </x:c>
      <x:c r="C11" s="24" t="str">
        <x:v>Ø300×3000 дают0,21206м³; спецификация л.139 —0,26м³ на сваю.</x:v>
      </x:c>
      <x:c r="D11" s="40" t="str">
        <x:v>Размеры сохранены; 19свай по схемам входов. Расход по ведомости и геометрический показаны раздельно.</x:v>
      </x:c>
      <x:c r="E11" s="24" t="str">
        <x:v>Открыто</x:v>
      </x:c>
    </x:row>
    <x:row r="12" ht="84" customHeight="1">
      <x:c r="A12" s="24" t="str">
        <x:v>R05-07</x:v>
      </x:c>
      <x:c r="B12" s="24" t="str">
        <x:v>Б1: опирание и отверстия</x:v>
      </x:c>
      <x:c r="C12" s="24" t="str">
        <x:v>Положение опор и фактическая геометрия существующих ригелей не подтверждены обмерами. В деталях встречаются110 и125мм.</x:v>
      </x:c>
      <x:c r="D12" s="40" t="str">
        <x:v>Балки показаны с L5780; опирание выделено как контрольная зона, а не новая бетонная подушка. Монтажные координаты согласовать.</x:v>
      </x:c>
      <x:c r="E12" s="24" t="str">
        <x:v>Открыто</x:v>
      </x:c>
    </x:row>
    <x:row r="13" ht="84" customHeight="1">
      <x:c r="A13" s="24" t="str">
        <x:v>R05-08</x:v>
      </x:c>
      <x:c r="B13" s="24" t="str">
        <x:v>Обрамление отверстий</x:v>
      </x:c>
      <x:c r="C13" s="24" t="str">
        <x:v>Спецификации уголков имеются, но часть узлов требует привязки к реальным рёбрам плит и трассам ОВ/ВК/ЭО.</x:v>
      </x:c>
      <x:c r="D13" s="40" t="str">
        <x:v>Точно по рассмотренным схемам раскрыты МУ4,6,7; для остальных отверстия вырезаны, состав обрамления дан в свойствах/реестре. Полный КМД не заявляется.</x:v>
      </x:c>
      <x:c r="E13" s="24" t="str">
        <x:v>Открыто</x:v>
      </x:c>
    </x:row>
    <x:row r="14" ht="84" customHeight="1">
      <x:c r="A14" s="24" t="str">
        <x:v>R05-09</x:v>
      </x:c>
      <x:c r="B14" s="24" t="str">
        <x:v>Входы: привязки со звёздочкой</x:v>
      </x:c>
      <x:c r="C14" s="24" t="str">
        <x:v>На планах входов ряд размеров имеет*. Геометрия покрытия, подсыпки и сварных узлов дана не полностью.</x:v>
      </x:c>
      <x:c r="D14" s="40" t="str">
        <x:v>Площадки, лестницы, фундаменты и сваи перенесены; козырьки — габарит каркаса. Не выдавать за исполнительную съёмку.</x:v>
      </x:c>
      <x:c r="E14" s="24" t="str">
        <x:v>Открыто</x:v>
      </x:c>
    </x:row>
    <x:row r="15" ht="84" customHeight="1">
      <x:c r="A15" s="24" t="str">
        <x:v>R05-10</x:v>
      </x:c>
      <x:c r="B15" s="24" t="str">
        <x:v>Профлист и объёмы МУ</x:v>
      </x:c>
      <x:c r="C15" s="24" t="str">
        <x:v>Часть объёмов бетона и площадей профлиста не совпадает с геометрией. Профиль без мелких штамповок, нет полного каркаса каждого МУ.</x:v>
      </x:c>
      <x:c r="D15" s="40" t="str">
        <x:v>Ведомости РД и объёмы визуальной геометрии не суммируются. Армирование/огнезащита требуют самостоятельной рабочей детализации.</x:v>
      </x:c>
      <x:c r="E15" s="24" t="str">
        <x:v>Открыто</x:v>
      </x:c>
    </x:row>
    <x:row r="16" ht="84" customHeight="1">
      <x:c r="A16" s="24" t="str">
        <x:v>R05-11</x:v>
      </x:c>
      <x:c r="B16" s="24" t="str">
        <x:v>Существующие фундаменты</x:v>
      </x:c>
      <x:c r="C16" s="24" t="str">
        <x:v>Полный набор обмерных типов стаканных фундаментов и привязок не установлен. В текущей РД нет обоснования произвольной общей обоймы.</x:v>
      </x:c>
      <x:c r="D16" s="40" t="str">
        <x:v>Не добавлены вымышленные усиления всех фундаментов. В модели Фп-1,Фп-2 и фундаменты входов; существующие фундаменты — источник для следующей увязки.</x:v>
      </x:c>
      <x:c r="E16" s="24" t="str">
        <x:v>Открыто</x:v>
      </x:c>
    </x:row>
    <x:row r="17" ht="84" customHeight="1">
      <x:c r="A17" s="24" t="str">
        <x:v>R05-12</x:v>
      </x:c>
      <x:c r="B17" s="24" t="str">
        <x:v>Незакрытые замечания R04</x:v>
      </x:c>
      <x:c r="C17" s="24" t="str">
        <x:v>Замечания Л-1 по анкерам, маршам, ОП1, Пп-1; замечания кровли по высотам/площади/МП-1 остаются.</x:v>
      </x:c>
      <x:c r="D17" s="40" t="str">
        <x:v>Все ранее выпущенные реестры сохранены в архиве. Новые элементы не означают закрытия старых замечаний.</x:v>
      </x:c>
      <x:c r="E17" s="24" t="str">
        <x:v>Открыто</x:v>
      </x:c>
    </x:row>
    <x:row r="18" ht="84" customHeight="1">
      <x:c r="A18" s="24" t="str">
        <x:v>R05-13</x:v>
      </x:c>
      <x:c r="B18" s="24" t="str">
        <x:v>Вход7: пандус</x:v>
      </x:c>
      <x:c r="C18" s="24" t="str">
        <x:v>Габарит плана4200мм при−0,370/−0,020 не равен6,7% из разреза.</x:v>
      </x:c>
      <x:c r="D18" s="40" t="str">
        <x:v>Огибающая по плану/отметкам помеченаP3. До работ выдать увязанный продольный профиль; геометрия не означает согласования МГН.</x:v>
      </x:c>
      <x:c r="E18" s="24" t="str">
        <x:v>Открыто</x:v>
      </x:c>
    </x:row>
    <x:row r="19" ht="84" customHeight="1">
      <x:c r="A19" s="24" t="str">
        <x:v>R05-14</x:v>
      </x:c>
      <x:c r="B19" s="24" t="str">
        <x:v>Фп‑2: схема и ведомость арматуры</x:v>
      </x:c>
      <x:c r="C19" s="24" t="str">
        <x:v>Схема л.72:15 и13стержней в одном направлении на слой, итого30 и26. Ведомость:36 и31. Разрез а‑а имеет−2,060/−2,360 вместо−2,050 на л.71.</x:v>
      </x:c>
      <x:c r="D19" s="40" t="str">
        <x:v>Сетки модели по размерной схеме,50мм до центра по примечанию; полный каркас не заявлен. Количества ведомости сохранены отдельно, согласовать перед вязкой.</x:v>
      </x:c>
      <x:c r="E19" s="24" t="str">
        <x:v>Открыто</x:v>
      </x:c>
    </x:row>
    <x:row r="20" ht="84" customHeight="1">
      <x:c r="A20" s="24" t="str">
        <x:v>R05-15</x:v>
      </x:c>
      <x:c r="B20" s="24" t="str">
        <x:v>Количество МУ в деталях и планах</x:v>
      </x:c>
      <x:c r="C20" s="24" t="str">
        <x:v>Л.25:МУ6 —3шт. в спецификации и2на планах20/21. Л.37:МУ34 —2в спецификации и1на плане21.</x:v>
      </x:c>
      <x:c r="D20" s="40" t="str">
        <x:v>Поэтажные экземпляры приняты по планам; дополнительные без координат не размещались. Уточнить у проектировщика.</x:v>
      </x:c>
      <x:c r="E20" s="24" t="str">
        <x:v>Открыто</x:v>
      </x:c>
    </x:row>
    <x:row r="21" ht="84" customHeight="1">
      <x:c r="A21" s="38" t="str">
        <x:v>R05-16</x:v>
      </x:c>
      <x:c r="B21" s="38" t="str">
        <x:v>Лифт1 и отверстия в перекрытиях</x:v>
      </x:c>
      <x:c r="C21" s="38" t="str">
        <x:v>В базовой оболочке не было сквозного отверстия нового лифта в осях1–2/Ж–И.</x:v>
      </x:c>
      <x:c r="D21" s="41" t="str">
        <x:v>Вырезан внутренний контур1750×2050 в оболочках+3,500 и+7,100. Надземная шахта/плитыПМ1–ПМ3 не детализированы в R05; уточнить увязку МУ с опиранием на кладку.</x:v>
      </x:c>
      <x:c r="E21" s="38" t="str">
        <x:v>Открыто</x:v>
      </x:c>
    </x:row>
  </x:sheetData>
  <x:mergeCells>
    <x:mergeCell ref="A1:E1"/>
    <x:mergeCell ref="A2:E3"/>
  </x:mergeCells>
  <x:dataValidations count="1">
    <x:dataValidation type="list" sqref="E6:E21">
      <x:formula1>"Открыто,Ответ получен,Согласовано"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61827e2b9584d91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47" hidden="0" customWidth="1"/>
    <x:col min="2" max="2" width="31" hidden="0" customWidth="1"/>
    <x:col min="3" max="3" width="25" hidden="0" customWidth="1"/>
    <x:col min="4" max="4" width="55" hidden="0" customWidth="1"/>
    <x:col min="5" max="5" width="75" hidden="0" customWidth="1"/>
  </x:cols>
  <x:sheetData>
    <x:row r="1" ht="32" customHeight="1">
      <x:c r="A1" s="4" t="str">
        <x:v>МАТРИЦА ИСТОЧНИКОВ И ПРИОРИТЕТА</x:v>
      </x:c>
      <x:c r="B1" s="4"/>
      <x:c r="C1" s="4"/>
      <x:c r="D1" s="4"/>
      <x:c r="E1" s="4"/>
    </x:row>
    <x:row r="2" ht="22" customHeight="1">
      <x:c r="A2" s="10" t="str">
        <x:v>Последний полный АС.2 — основной; старые материалы только для сопоставления/восполнения пробелов. Номер PDF-страницы не равен номеру листа в штампе.</x:v>
      </x:c>
      <x:c r="B2" s="10"/>
      <x:c r="C2" s="10"/>
      <x:c r="D2" s="10"/>
      <x:c r="E2" s="10"/>
    </x:row>
    <x:row r="3" ht="22" customHeight="1">
      <x:c r="A3" s="10"/>
      <x:c r="B3" s="10"/>
      <x:c r="C3" s="10"/>
      <x:c r="D3" s="10"/>
      <x:c r="E3" s="10"/>
    </x:row>
    <x:row r="5" ht="40" customHeight="1">
      <x:c r="A5" s="17" t="str">
        <x:v>Источник</x:v>
      </x:c>
      <x:c r="B5" s="17" t="str">
        <x:v>Статус</x:v>
      </x:c>
      <x:c r="C5" s="17" t="str">
        <x:v>Листы / блок</x:v>
      </x:c>
      <x:c r="D5" s="17" t="str">
        <x:v>Использование</x:v>
      </x:c>
      <x:c r="E5" s="17" t="str">
        <x:v>Ограничение / ссылка</x:v>
      </x:c>
    </x:row>
    <x:row r="6" ht="66" customHeight="1">
      <x:c r="A6" s="24" t="str">
        <x:v>01-2024-ИЯИ-АС.2 изм от03.07.26.pdf</x:v>
      </x:c>
      <x:c r="B6" s="24" t="str">
        <x:v>Полный, 162 PDF-страницы</x:v>
      </x:c>
      <x:c r="C6" s="24" t="str">
        <x:v>4–10,20–39.9</x:v>
      </x:c>
      <x:c r="D6" s="24" t="str">
        <x:v>Основа межэтажных МУ; чертежи дефектов/демонтажа</x:v>
      </x:c>
      <x:c r="E6" s="24" t="str">
        <x:v>Размеры и схемы; дата выпуска не является подтверждённым реестром замены.</x:v>
      </x:c>
    </x:row>
    <x:row r="7" ht="66" customHeight="1">
      <x:c r="A7" s="24" t="str">
        <x:v>Тот же полный альбом</x:v>
      </x:c>
      <x:c r="B7" s="24" t="str">
        <x:v>Последний переданный</x:v>
      </x:c>
      <x:c r="C7" s="24" t="str">
        <x:v>47–70</x:v>
      </x:c>
      <x:c r="D7" s="24" t="str">
        <x:v>Л-1 сохранена из R04</x:v>
      </x:c>
      <x:c r="E7" s="24" t="str">
        <x:v>Старые замечания не закрыты.</x:v>
      </x:c>
    </x:row>
    <x:row r="8" ht="66" customHeight="1">
      <x:c r="A8" s="24" t="str">
        <x:v>Тот же полный альбом</x:v>
      </x:c>
      <x:c r="B8" s="24" t="str">
        <x:v>Последний переданный</x:v>
      </x:c>
      <x:c r="C8" s="24" t="str">
        <x:v>71–78</x:v>
      </x:c>
      <x:c r="D8" s="24" t="str">
        <x:v>Новые Фп-2/стены/часть сеток</x:v>
      </x:c>
      <x:c r="E8" s="24" t="str">
        <x:v>Разницы отметок и спецификаций в реестре.</x:v>
      </x:c>
    </x:row>
    <x:row r="9" ht="66" customHeight="1">
      <x:c r="A9" s="24" t="str">
        <x:v>Тот же полный альбом</x:v>
      </x:c>
      <x:c r="B9" s="24" t="str">
        <x:v>Последний переданный</x:v>
      </x:c>
      <x:c r="C9" s="24" t="str">
        <x:v>119–139</x:v>
      </x:c>
      <x:c r="D9" s="24" t="str">
        <x:v>Входы1–8; основания; 19свай</x:v>
      </x:c>
      <x:c r="E9" s="24" t="str">
        <x:v>Козырьки укрупнены; не КМД.</x:v>
      </x:c>
    </x:row>
    <x:row r="10" ht="66" customHeight="1">
      <x:c r="A10" s="24" t="str">
        <x:v>01-2024-ИЯИ-АС.2-объединены(1).pdf</x:v>
      </x:c>
      <x:c r="B10" s="24" t="str">
        <x:v>Предыдущая выборка</x:v>
      </x:c>
      <x:c r="C10" s="24" t="str">
        <x:v>38.1</x:v>
      </x:c>
      <x:c r="D10" s="24" t="str">
        <x:v>Данные кровельных МУ38/39 сохранены по R04</x:v>
      </x:c>
      <x:c r="E10" s="24" t="str">
        <x:v>Лист38.1 отсутствует в полном N; полный откат на старую выборку не выполнялся.</x:v>
      </x:c>
    </x:row>
    <x:row r="11" ht="66" customHeight="1">
      <x:c r="A11" s="24" t="str">
        <x:v>01-2024_ИЯИ-АР-объединены(1).pdf</x:v>
      </x:c>
      <x:c r="B11" s="24" t="str">
        <x:v>Предыдущая основа кровли</x:v>
      </x:c>
      <x:c r="C11" s="24" t="str">
        <x:v>8–10</x:v>
      </x:c>
      <x:c r="D11" s="24" t="str">
        <x:v>Кровля/фасады сохранены</x:v>
      </x:c>
      <x:c r="E11" s="24" t="str">
        <x:v>Заявления о закрытии расхождений кровли нет.</x:v>
      </x:c>
    </x:row>
    <x:row r="12" ht="66" customHeight="1">
      <x:c r="A12" s="24" t="str">
        <x:v>Google Drive / РД</x:v>
      </x:c>
      <x:c r="B12" s="24" t="str">
        <x:v>Старый выпуск</x:v>
      </x:c>
      <x:c r="C12" s="24" t="str">
        <x:v>АС.2 / АР / ИЗМ-1</x:v>
      </x:c>
      <x:c r="D12" s="24" t="str">
        <x:v>Сопоставление недостающих и разновременных данных</x:v>
      </x:c>
      <x:c r="E12" s="24" t="str">
        <x:v>https://drive.google.com/drive/folders/1WduJp-2CN3gzCOGttMGqZGGiblqz4w7g</x:v>
      </x:c>
    </x:row>
    <x:row r="13" ht="66" customHeight="1">
      <x:c r="A13" s="24" t="str">
        <x:v>Раздел ПД №4 Изм.1.pdf</x:v>
      </x:c>
      <x:c r="B13" s="24" t="str">
        <x:v>Старая ПД, 83страницы</x:v>
      </x:c>
      <x:c r="C13" s="24" t="str">
        <x:v>63–69</x:v>
      </x:c>
      <x:c r="D13" s="24" t="str">
        <x:v>Проверены фрагменты новых фундаментов/лифтов</x:v>
      </x:c>
      <x:c r="E13" s="24" t="str">
        <x:v>Геометрия последней РД не заменялась отметкой−2,060 из старой ПД.</x:v>
      </x:c>
    </x:row>
    <x:row r="14" ht="66" customHeight="1">
      <x:c r="A14" s="24" t="str">
        <x:v>ППР_усиление_03.06.2026.pdf</x:v>
      </x:c>
      <x:c r="B14" s="24" t="str">
        <x:v>Получен с Google Drive</x:v>
      </x:c>
      <x:c r="C14" s="24" t="str">
        <x:v>Вне рабочей геометрии R05</x:v>
      </x:c>
      <x:c r="D14" s="24" t="str">
        <x:v>Не использован как замена конструкторского решения</x:v>
      </x:c>
      <x:c r="E14" s="24" t="str">
        <x:v>Соответствие модели всем организационно-технологическим мерам ППР не заявлено.</x:v>
      </x:c>
    </x:row>
  </x:sheetData>
  <x:mergeCells>
    <x:mergeCell ref="A1:E1"/>
    <x:mergeCell ref="A2:E3"/>
  </x:mergeCells>
  <x:pageMargins left="0.7" right="0.7" top="0.75" bottom="0.75" header="0.3" footer="0.3"/>
  <x:tableParts count="1">
    <x:tablePart xmlns:r="http://schemas.openxmlformats.org/officeDocument/2006/relationships" r:id="R54ea4739abea4f9b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7" hidden="0" customWidth="1"/>
    <x:col min="3" max="3" width="18" hidden="0" customWidth="1"/>
    <x:col min="4" max="4" width="20" hidden="0" customWidth="1"/>
    <x:col min="5" max="5" width="25" hidden="0" customWidth="1"/>
  </x:cols>
  <x:sheetData>
    <x:row r="1" ht="32" customHeight="1">
      <x:c r="A1" s="4" t="str">
        <x:v>R05 / ПЕРЕКРЫТИЯ — КОНТРОЛЬ СОСТАВА</x:v>
      </x:c>
      <x:c r="B1" s="4"/>
      <x:c r="C1" s="4"/>
      <x:c r="D1" s="4"/>
      <x:c r="E1" s="4"/>
    </x:row>
    <x:row r="2" ht="22" customHeight="1">
      <x:c r="A2" s="10" t="str">
        <x:v>Балки Б1 считаются сборками. Объёмы бетона и профлиста — из спецификаций РД, а не подтверждение фактического выполнения или ведомость закупки.</x:v>
      </x:c>
      <x:c r="B2" s="10"/>
      <x:c r="C2" s="10"/>
      <x:c r="D2" s="10"/>
      <x:c r="E2" s="10"/>
    </x:row>
    <x:row r="3" ht="22" customHeight="1">
      <x:c r="A3" s="10"/>
      <x:c r="B3" s="10"/>
      <x:c r="C3" s="10"/>
      <x:c r="D3" s="10"/>
      <x:c r="E3" s="10"/>
    </x:row>
    <x:row r="5" ht="40" customHeight="1">
      <x:c r="A5" s="17" t="str">
        <x:v>Уровень / часть</x:v>
      </x:c>
      <x:c r="B5" s="17" t="str">
        <x:v>Отметка, м</x:v>
      </x:c>
      <x:c r="C5" s="17" t="str">
        <x:v>МУ, шт.</x:v>
      </x:c>
      <x:c r="D5" s="17" t="str">
        <x:v>Б1, сборок</x:v>
      </x:c>
      <x:c r="E5" s="17" t="str">
        <x:v>Бетон по РД, м³</x:v>
      </x:c>
    </x:row>
    <x:row r="6" ht="36" customHeight="1">
      <x:c r="A6" s="24" t="str">
        <x:v>МУ · верх +3,500</x:v>
      </x:c>
      <x:c r="B6" s="28" t="n">
        <x:v>3.5</x:v>
      </x:c>
      <x:c r="C6" s="24" t="n">
        <x:f>COUNTIF('01_МУ_поэтажно'!$C$6:$C$53,B6)</x:f>
        <x:v>22</x:v>
      </x:c>
      <x:c r="D6" s="24" t="n">
        <x:f>SUMIF('01_МУ_поэтажно'!$C$6:$C$53,B6,'01_МУ_поэтажно'!$F$6:$F$53)</x:f>
        <x:v>32</x:v>
      </x:c>
      <x:c r="E6" s="28" t="n">
        <x:f>SUMIF('01_МУ_поэтажно'!$C$6:$C$53,B6,'01_МУ_поэтажно'!$G$6:$G$53)</x:f>
        <x:v>31.26</x:v>
      </x:c>
    </x:row>
    <x:row r="7" ht="36" customHeight="1">
      <x:c r="A7" s="24" t="str">
        <x:v>МУ · верх +4,700</x:v>
      </x:c>
      <x:c r="B7" s="28" t="n">
        <x:v>4.7</x:v>
      </x:c>
      <x:c r="C7" s="24" t="n">
        <x:f>COUNTIF('01_МУ_поэтажно'!$C$6:$C$53,B7)</x:f>
        <x:v>1</x:v>
      </x:c>
      <x:c r="D7" s="24" t="n">
        <x:f>SUMIF('01_МУ_поэтажно'!$C$6:$C$53,B7,'01_МУ_поэтажно'!$F$6:$F$53)</x:f>
        <x:v>2</x:v>
      </x:c>
      <x:c r="E7" s="28" t="n">
        <x:f>SUMIF('01_МУ_поэтажно'!$C$6:$C$53,B7,'01_МУ_поэтажно'!$G$6:$G$53)</x:f>
        <x:v>1.75</x:v>
      </x:c>
    </x:row>
    <x:row r="8" ht="36" customHeight="1">
      <x:c r="A8" s="24" t="str">
        <x:v>МУ · верх +7,100</x:v>
      </x:c>
      <x:c r="B8" s="28" t="n">
        <x:v>7.1</x:v>
      </x:c>
      <x:c r="C8" s="24" t="n">
        <x:f>COUNTIF('01_МУ_поэтажно'!$C$6:$C$53,B8)</x:f>
        <x:v>25</x:v>
      </x:c>
      <x:c r="D8" s="24" t="n">
        <x:f>SUMIF('01_МУ_поэтажно'!$C$6:$C$53,B8,'01_МУ_поэтажно'!$F$6:$F$53)</x:f>
        <x:v>34</x:v>
      </x:c>
      <x:c r="E8" s="28" t="n">
        <x:f>SUMIF('01_МУ_поэтажно'!$C$6:$C$53,B8,'01_МУ_поэтажно'!$G$6:$G$53)</x:f>
        <x:v>35.23</x:v>
      </x:c>
    </x:row>
    <x:row r="9" ht="36" customHeight="1">
      <x:c r="A9" s="48" t="str">
        <x:v>ИТОГО межэтажные МУ</x:v>
      </x:c>
      <x:c r="B9" s="48"/>
      <x:c r="C9" s="48" t="n">
        <x:f>SUM(C6:C8)</x:f>
        <x:v>48</x:v>
      </x:c>
      <x:c r="D9" s="48" t="n">
        <x:f>SUM(D6:D8)</x:f>
        <x:v>68</x:v>
      </x:c>
      <x:c r="E9" s="49" t="n">
        <x:f>SUM(E6:E8)</x:f>
        <x:v>68.24000000000001</x:v>
      </x:c>
    </x:row>
    <x:row r="12" ht="22" customHeight="1">
      <x:c r="A12" s="54" t="str">
        <x:v>МУ23 относится к поднятому перекрытию на +4,700. На листе 20 он показан вместе с МУ на +3,500. Эти отметки в модели не объединялись. Балки и МУ лестницы Л‑1 сюда не включены.</x:v>
      </x:c>
      <x:c r="B12" s="54"/>
      <x:c r="C12" s="54"/>
      <x:c r="D12" s="54"/>
      <x:c r="E12" s="54"/>
    </x:row>
    <x:row r="13" ht="22" customHeight="1">
      <x:c r="A13" s="54"/>
      <x:c r="B13" s="54"/>
      <x:c r="C13" s="54"/>
      <x:c r="D13" s="54"/>
      <x:c r="E13" s="54"/>
    </x:row>
    <x:row r="14" ht="22" customHeight="1">
      <x:c r="A14" s="54"/>
      <x:c r="B14" s="54"/>
      <x:c r="C14" s="54"/>
      <x:c r="D14" s="54"/>
      <x:c r="E14" s="54"/>
    </x:row>
  </x:sheetData>
  <x:mergeCells>
    <x:mergeCell ref="A1:E1"/>
    <x:mergeCell ref="A2:E3"/>
    <x:mergeCell ref="A12:E14"/>
  </x:mergeCells>
  <x:pageMargins left="0.7" right="0.7" top="0.75" bottom="0.75" header="0.3" footer="0.3"/>
  <x:tableParts count="1">
    <x:tablePart xmlns:r="http://schemas.openxmlformats.org/officeDocument/2006/relationships" r:id="Rc374823068684a56"/>
  </x:tableParts>
</x:worksheet>
</file>